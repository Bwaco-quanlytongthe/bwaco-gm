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WACOGM\"/>
    </mc:Choice>
  </mc:AlternateContent>
  <bookViews>
    <workbookView xWindow="0" yWindow="0" windowWidth="28800" windowHeight="11700" activeTab="1"/>
  </bookViews>
  <sheets>
    <sheet name="ĐẶT TÍNH" sheetId="7" r:id="rId1"/>
    <sheet name="W-Z Da Den (2)" sheetId="8" r:id="rId2"/>
    <sheet name="W-Z Da Den" sheetId="2" r:id="rId3"/>
  </sheets>
  <calcPr calcId="162913"/>
  <extLst>
    <ext uri="GoogleSheetsCustomDataVersion2">
      <go:sheetsCustomData xmlns:go="http://customooxmlschemas.google.com/" r:id="rId10" roundtripDataChecksum="9bgT59sFVCWewPorYARWzabyBPTsOmCmu2d3rRQhek4="/>
    </ext>
  </extLst>
</workbook>
</file>

<file path=xl/calcChain.xml><?xml version="1.0" encoding="utf-8"?>
<calcChain xmlns="http://schemas.openxmlformats.org/spreadsheetml/2006/main">
  <c r="C4" i="8" l="1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3" i="8"/>
  <c r="A4" i="7" l="1"/>
  <c r="A5" i="7" s="1"/>
  <c r="A6" i="7" s="1"/>
  <c r="A7" i="7" s="1"/>
  <c r="A8" i="7" s="1"/>
  <c r="A9" i="7" s="1"/>
  <c r="A10" i="7" s="1"/>
  <c r="C2" i="7"/>
  <c r="C9" i="7" s="1"/>
  <c r="C3" i="7" l="1"/>
  <c r="C4" i="7"/>
  <c r="C10" i="7"/>
  <c r="C6" i="7"/>
  <c r="C7" i="7"/>
  <c r="C5" i="7"/>
  <c r="C8" i="7"/>
</calcChain>
</file>

<file path=xl/sharedStrings.xml><?xml version="1.0" encoding="utf-8"?>
<sst xmlns="http://schemas.openxmlformats.org/spreadsheetml/2006/main" count="70" uniqueCount="37">
  <si>
    <t>BẢNG QUAN HỆ (W-Z) HỒ ĐÁ ĐEN</t>
  </si>
  <si>
    <t>Z (m)</t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</si>
  <si>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</si>
  <si>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</si>
  <si>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</si>
  <si>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</si>
  <si>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</si>
  <si>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</si>
  <si>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</si>
  <si>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</si>
  <si>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</si>
  <si>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</si>
  <si>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</si>
  <si>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</si>
  <si>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</si>
  <si>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</si>
  <si>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</si>
  <si>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</si>
  <si>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</si>
  <si>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</si>
  <si>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</si>
  <si>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</si>
  <si>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</si>
  <si>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</si>
  <si>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</si>
  <si>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</si>
  <si>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</si>
  <si>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</si>
  <si>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</si>
  <si>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</si>
  <si>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</si>
  <si>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w (10</t>
    </r>
    <r>
      <rPr>
        <vertAlign val="superscript"/>
        <sz val="12"/>
        <color rgb="FF000000"/>
        <rFont val="Times New Roman"/>
      </rPr>
      <t>6</t>
    </r>
    <r>
      <rPr>
        <sz val="12"/>
        <color rgb="FF000000"/>
        <rFont val="Times New Roman"/>
      </rPr>
      <t>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</si>
  <si>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t>cốt mực nước</t>
  </si>
  <si>
    <t>tổng trữ lương m3</t>
  </si>
  <si>
    <t>quy đổi</t>
  </si>
  <si>
    <r>
      <t>V (10</t>
    </r>
    <r>
      <rPr>
        <vertAlign val="superscript"/>
        <sz val="12"/>
        <rFont val="VNI-Times"/>
      </rPr>
      <t>6</t>
    </r>
    <r>
      <rPr>
        <sz val="12"/>
        <color rgb="FF000000"/>
        <rFont val="Times New Roman"/>
        <scheme val="minor"/>
      </rPr>
      <t>m³)</t>
    </r>
  </si>
  <si>
    <r>
      <t>Quy đổi m</t>
    </r>
    <r>
      <rPr>
        <vertAlign val="superscript"/>
        <sz val="12"/>
        <color theme="1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</si>
</sst>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.0"/>
    <numFmt numFmtId="165" formatCode="_(* #,##0_);_(* \(#,##0\);_(* &quot;-&quot;??_);_(@_)"/>
  </numFmts>
  <fonts count="15">
    <font>
      <sz val="12"/>
      <color rgb="FF000000"/>
      <name val="Times New Roman"/>
      <scheme val="minor"/>
    </font>
    <font>
      <b/>
      <sz val="16"/>
      <color theme="1"/>
      <name val="Times New Roman"/>
    </font>
    <font>
      <sz val="12"/>
      <color theme="1"/>
      <name val="Times New Roman"/>
    </font>
    <font>
      <b/>
      <sz val="12"/>
      <color rgb="FFFF0000"/>
      <name val="Times New Roman"/>
    </font>
    <font>
      <b/>
      <sz val="12"/>
      <color theme="1"/>
      <name val="Times New Roman"/>
    </font>
    <font>
      <sz val="12"/>
      <color rgb="FF0000FF"/>
      <name val="Times New Roman"/>
    </font>
    <font>
      <sz val="12"/>
      <color rgb="FF000000"/>
      <name val="Times New Roman"/>
    </font>
    <font>
      <vertAlign val="superscript"/>
      <sz val="12"/>
      <color rgb="FF000000"/>
      <name val="Times New Roman"/>
    </font>
    <font>
      <sz val="12"/>
      <color rgb="FF000000"/>
      <name val="Times New Roman"/>
      <scheme val="minor"/>
    </font>
    <font>
      <sz val="12"/>
      <name val="Aptima"/>
    </font>
    <font>
      <vertAlign val="superscript"/>
      <sz val="12"/>
      <name val="VNI-Times"/>
    </font>
    <font>
      <sz val="10"/>
      <color indexed="12"/>
      <name val="VNI-Times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6">
    <xf numFmtId="0" fontId="0" fillId="0" borderId="0" xfId="0" applyFont="1" applyAlignment="1"/>
    <xf numFmtId="0" fontId="2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4" fillId="0" borderId="0" xfId="0" applyFont="1"/>
    <xf numFmtId="2" fontId="2" fillId="0" borderId="6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0" fontId="3" fillId="0" borderId="0" xfId="0" applyFont="1"/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64" fontId="9" fillId="0" borderId="12" xfId="0" applyNumberFormat="1" applyFont="1" applyBorder="1" applyAlignment="1">
      <alignment horizontal="center"/>
    </xf>
    <xf numFmtId="0" fontId="0" fillId="0" borderId="0" xfId="0"/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5" fontId="0" fillId="0" borderId="12" xfId="1" applyNumberFormat="1" applyFont="1" applyBorder="1"/>
    <xf numFmtId="0" fontId="11" fillId="0" borderId="12" xfId="0" applyFont="1" applyBorder="1"/>
    <xf numFmtId="165" fontId="0" fillId="0" borderId="12" xfId="0" applyNumberFormat="1" applyBorder="1"/>
    <xf numFmtId="0" fontId="0" fillId="0" borderId="12" xfId="0" applyFill="1" applyBorder="1" applyAlignment="1">
      <alignment horizontal="center"/>
    </xf>
    <xf numFmtId="0" fontId="11" fillId="0" borderId="12" xfId="0" applyFont="1" applyFill="1" applyBorder="1"/>
    <xf numFmtId="165" fontId="0" fillId="0" borderId="12" xfId="0" applyNumberFormat="1" applyFill="1" applyBorder="1"/>
    <xf numFmtId="164" fontId="0" fillId="0" borderId="0" xfId="0" applyNumberFormat="1"/>
    <xf numFmtId="0" fontId="0" fillId="0" borderId="0" xfId="0" applyFont="1" applyAlignment="1"/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2" fontId="2" fillId="0" borderId="12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/>
    </xf>
    <xf numFmtId="165" fontId="4" fillId="0" borderId="12" xfId="1" applyNumberFormat="1" applyFont="1" applyBorder="1"/>
    <xf numFmtId="0" fontId="13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27" sqref="C27"/>
    </sheetView>
  </sheetViews>
  <sheetFormatPr defaultRowHeight="15.75"/>
  <cols>
    <col min="1" max="1" width="13.625" style="26" bestFit="1" customWidth="1"/>
    <col min="2" max="2" width="17" style="35" bestFit="1" customWidth="1"/>
    <col min="3" max="3" width="11.375" style="26" bestFit="1" customWidth="1"/>
    <col min="4" max="256" width="9" style="26"/>
    <col min="257" max="257" width="13.625" style="26" bestFit="1" customWidth="1"/>
    <col min="258" max="258" width="17" style="26" bestFit="1" customWidth="1"/>
    <col min="259" max="259" width="11.375" style="26" bestFit="1" customWidth="1"/>
    <col min="260" max="512" width="9" style="26"/>
    <col min="513" max="513" width="13.625" style="26" bestFit="1" customWidth="1"/>
    <col min="514" max="514" width="17" style="26" bestFit="1" customWidth="1"/>
    <col min="515" max="515" width="11.375" style="26" bestFit="1" customWidth="1"/>
    <col min="516" max="768" width="9" style="26"/>
    <col min="769" max="769" width="13.625" style="26" bestFit="1" customWidth="1"/>
    <col min="770" max="770" width="17" style="26" bestFit="1" customWidth="1"/>
    <col min="771" max="771" width="11.375" style="26" bestFit="1" customWidth="1"/>
    <col min="772" max="1024" width="9" style="26"/>
    <col min="1025" max="1025" width="13.625" style="26" bestFit="1" customWidth="1"/>
    <col min="1026" max="1026" width="17" style="26" bestFit="1" customWidth="1"/>
    <col min="1027" max="1027" width="11.375" style="26" bestFit="1" customWidth="1"/>
    <col min="1028" max="1280" width="9" style="26"/>
    <col min="1281" max="1281" width="13.625" style="26" bestFit="1" customWidth="1"/>
    <col min="1282" max="1282" width="17" style="26" bestFit="1" customWidth="1"/>
    <col min="1283" max="1283" width="11.375" style="26" bestFit="1" customWidth="1"/>
    <col min="1284" max="1536" width="9" style="26"/>
    <col min="1537" max="1537" width="13.625" style="26" bestFit="1" customWidth="1"/>
    <col min="1538" max="1538" width="17" style="26" bestFit="1" customWidth="1"/>
    <col min="1539" max="1539" width="11.375" style="26" bestFit="1" customWidth="1"/>
    <col min="1540" max="1792" width="9" style="26"/>
    <col min="1793" max="1793" width="13.625" style="26" bestFit="1" customWidth="1"/>
    <col min="1794" max="1794" width="17" style="26" bestFit="1" customWidth="1"/>
    <col min="1795" max="1795" width="11.375" style="26" bestFit="1" customWidth="1"/>
    <col min="1796" max="2048" width="9" style="26"/>
    <col min="2049" max="2049" width="13.625" style="26" bestFit="1" customWidth="1"/>
    <col min="2050" max="2050" width="17" style="26" bestFit="1" customWidth="1"/>
    <col min="2051" max="2051" width="11.375" style="26" bestFit="1" customWidth="1"/>
    <col min="2052" max="2304" width="9" style="26"/>
    <col min="2305" max="2305" width="13.625" style="26" bestFit="1" customWidth="1"/>
    <col min="2306" max="2306" width="17" style="26" bestFit="1" customWidth="1"/>
    <col min="2307" max="2307" width="11.375" style="26" bestFit="1" customWidth="1"/>
    <col min="2308" max="2560" width="9" style="26"/>
    <col min="2561" max="2561" width="13.625" style="26" bestFit="1" customWidth="1"/>
    <col min="2562" max="2562" width="17" style="26" bestFit="1" customWidth="1"/>
    <col min="2563" max="2563" width="11.375" style="26" bestFit="1" customWidth="1"/>
    <col min="2564" max="2816" width="9" style="26"/>
    <col min="2817" max="2817" width="13.625" style="26" bestFit="1" customWidth="1"/>
    <col min="2818" max="2818" width="17" style="26" bestFit="1" customWidth="1"/>
    <col min="2819" max="2819" width="11.375" style="26" bestFit="1" customWidth="1"/>
    <col min="2820" max="3072" width="9" style="26"/>
    <col min="3073" max="3073" width="13.625" style="26" bestFit="1" customWidth="1"/>
    <col min="3074" max="3074" width="17" style="26" bestFit="1" customWidth="1"/>
    <col min="3075" max="3075" width="11.375" style="26" bestFit="1" customWidth="1"/>
    <col min="3076" max="3328" width="9" style="26"/>
    <col min="3329" max="3329" width="13.625" style="26" bestFit="1" customWidth="1"/>
    <col min="3330" max="3330" width="17" style="26" bestFit="1" customWidth="1"/>
    <col min="3331" max="3331" width="11.375" style="26" bestFit="1" customWidth="1"/>
    <col min="3332" max="3584" width="9" style="26"/>
    <col min="3585" max="3585" width="13.625" style="26" bestFit="1" customWidth="1"/>
    <col min="3586" max="3586" width="17" style="26" bestFit="1" customWidth="1"/>
    <col min="3587" max="3587" width="11.375" style="26" bestFit="1" customWidth="1"/>
    <col min="3588" max="3840" width="9" style="26"/>
    <col min="3841" max="3841" width="13.625" style="26" bestFit="1" customWidth="1"/>
    <col min="3842" max="3842" width="17" style="26" bestFit="1" customWidth="1"/>
    <col min="3843" max="3843" width="11.375" style="26" bestFit="1" customWidth="1"/>
    <col min="3844" max="4096" width="9" style="26"/>
    <col min="4097" max="4097" width="13.625" style="26" bestFit="1" customWidth="1"/>
    <col min="4098" max="4098" width="17" style="26" bestFit="1" customWidth="1"/>
    <col min="4099" max="4099" width="11.375" style="26" bestFit="1" customWidth="1"/>
    <col min="4100" max="4352" width="9" style="26"/>
    <col min="4353" max="4353" width="13.625" style="26" bestFit="1" customWidth="1"/>
    <col min="4354" max="4354" width="17" style="26" bestFit="1" customWidth="1"/>
    <col min="4355" max="4355" width="11.375" style="26" bestFit="1" customWidth="1"/>
    <col min="4356" max="4608" width="9" style="26"/>
    <col min="4609" max="4609" width="13.625" style="26" bestFit="1" customWidth="1"/>
    <col min="4610" max="4610" width="17" style="26" bestFit="1" customWidth="1"/>
    <col min="4611" max="4611" width="11.375" style="26" bestFit="1" customWidth="1"/>
    <col min="4612" max="4864" width="9" style="26"/>
    <col min="4865" max="4865" width="13.625" style="26" bestFit="1" customWidth="1"/>
    <col min="4866" max="4866" width="17" style="26" bestFit="1" customWidth="1"/>
    <col min="4867" max="4867" width="11.375" style="26" bestFit="1" customWidth="1"/>
    <col min="4868" max="5120" width="9" style="26"/>
    <col min="5121" max="5121" width="13.625" style="26" bestFit="1" customWidth="1"/>
    <col min="5122" max="5122" width="17" style="26" bestFit="1" customWidth="1"/>
    <col min="5123" max="5123" width="11.375" style="26" bestFit="1" customWidth="1"/>
    <col min="5124" max="5376" width="9" style="26"/>
    <col min="5377" max="5377" width="13.625" style="26" bestFit="1" customWidth="1"/>
    <col min="5378" max="5378" width="17" style="26" bestFit="1" customWidth="1"/>
    <col min="5379" max="5379" width="11.375" style="26" bestFit="1" customWidth="1"/>
    <col min="5380" max="5632" width="9" style="26"/>
    <col min="5633" max="5633" width="13.625" style="26" bestFit="1" customWidth="1"/>
    <col min="5634" max="5634" width="17" style="26" bestFit="1" customWidth="1"/>
    <col min="5635" max="5635" width="11.375" style="26" bestFit="1" customWidth="1"/>
    <col min="5636" max="5888" width="9" style="26"/>
    <col min="5889" max="5889" width="13.625" style="26" bestFit="1" customWidth="1"/>
    <col min="5890" max="5890" width="17" style="26" bestFit="1" customWidth="1"/>
    <col min="5891" max="5891" width="11.375" style="26" bestFit="1" customWidth="1"/>
    <col min="5892" max="6144" width="9" style="26"/>
    <col min="6145" max="6145" width="13.625" style="26" bestFit="1" customWidth="1"/>
    <col min="6146" max="6146" width="17" style="26" bestFit="1" customWidth="1"/>
    <col min="6147" max="6147" width="11.375" style="26" bestFit="1" customWidth="1"/>
    <col min="6148" max="6400" width="9" style="26"/>
    <col min="6401" max="6401" width="13.625" style="26" bestFit="1" customWidth="1"/>
    <col min="6402" max="6402" width="17" style="26" bestFit="1" customWidth="1"/>
    <col min="6403" max="6403" width="11.375" style="26" bestFit="1" customWidth="1"/>
    <col min="6404" max="6656" width="9" style="26"/>
    <col min="6657" max="6657" width="13.625" style="26" bestFit="1" customWidth="1"/>
    <col min="6658" max="6658" width="17" style="26" bestFit="1" customWidth="1"/>
    <col min="6659" max="6659" width="11.375" style="26" bestFit="1" customWidth="1"/>
    <col min="6660" max="6912" width="9" style="26"/>
    <col min="6913" max="6913" width="13.625" style="26" bestFit="1" customWidth="1"/>
    <col min="6914" max="6914" width="17" style="26" bestFit="1" customWidth="1"/>
    <col min="6915" max="6915" width="11.375" style="26" bestFit="1" customWidth="1"/>
    <col min="6916" max="7168" width="9" style="26"/>
    <col min="7169" max="7169" width="13.625" style="26" bestFit="1" customWidth="1"/>
    <col min="7170" max="7170" width="17" style="26" bestFit="1" customWidth="1"/>
    <col min="7171" max="7171" width="11.375" style="26" bestFit="1" customWidth="1"/>
    <col min="7172" max="7424" width="9" style="26"/>
    <col min="7425" max="7425" width="13.625" style="26" bestFit="1" customWidth="1"/>
    <col min="7426" max="7426" width="17" style="26" bestFit="1" customWidth="1"/>
    <col min="7427" max="7427" width="11.375" style="26" bestFit="1" customWidth="1"/>
    <col min="7428" max="7680" width="9" style="26"/>
    <col min="7681" max="7681" width="13.625" style="26" bestFit="1" customWidth="1"/>
    <col min="7682" max="7682" width="17" style="26" bestFit="1" customWidth="1"/>
    <col min="7683" max="7683" width="11.375" style="26" bestFit="1" customWidth="1"/>
    <col min="7684" max="7936" width="9" style="26"/>
    <col min="7937" max="7937" width="13.625" style="26" bestFit="1" customWidth="1"/>
    <col min="7938" max="7938" width="17" style="26" bestFit="1" customWidth="1"/>
    <col min="7939" max="7939" width="11.375" style="26" bestFit="1" customWidth="1"/>
    <col min="7940" max="8192" width="9" style="26"/>
    <col min="8193" max="8193" width="13.625" style="26" bestFit="1" customWidth="1"/>
    <col min="8194" max="8194" width="17" style="26" bestFit="1" customWidth="1"/>
    <col min="8195" max="8195" width="11.375" style="26" bestFit="1" customWidth="1"/>
    <col min="8196" max="8448" width="9" style="26"/>
    <col min="8449" max="8449" width="13.625" style="26" bestFit="1" customWidth="1"/>
    <col min="8450" max="8450" width="17" style="26" bestFit="1" customWidth="1"/>
    <col min="8451" max="8451" width="11.375" style="26" bestFit="1" customWidth="1"/>
    <col min="8452" max="8704" width="9" style="26"/>
    <col min="8705" max="8705" width="13.625" style="26" bestFit="1" customWidth="1"/>
    <col min="8706" max="8706" width="17" style="26" bestFit="1" customWidth="1"/>
    <col min="8707" max="8707" width="11.375" style="26" bestFit="1" customWidth="1"/>
    <col min="8708" max="8960" width="9" style="26"/>
    <col min="8961" max="8961" width="13.625" style="26" bestFit="1" customWidth="1"/>
    <col min="8962" max="8962" width="17" style="26" bestFit="1" customWidth="1"/>
    <col min="8963" max="8963" width="11.375" style="26" bestFit="1" customWidth="1"/>
    <col min="8964" max="9216" width="9" style="26"/>
    <col min="9217" max="9217" width="13.625" style="26" bestFit="1" customWidth="1"/>
    <col min="9218" max="9218" width="17" style="26" bestFit="1" customWidth="1"/>
    <col min="9219" max="9219" width="11.375" style="26" bestFit="1" customWidth="1"/>
    <col min="9220" max="9472" width="9" style="26"/>
    <col min="9473" max="9473" width="13.625" style="26" bestFit="1" customWidth="1"/>
    <col min="9474" max="9474" width="17" style="26" bestFit="1" customWidth="1"/>
    <col min="9475" max="9475" width="11.375" style="26" bestFit="1" customWidth="1"/>
    <col min="9476" max="9728" width="9" style="26"/>
    <col min="9729" max="9729" width="13.625" style="26" bestFit="1" customWidth="1"/>
    <col min="9730" max="9730" width="17" style="26" bestFit="1" customWidth="1"/>
    <col min="9731" max="9731" width="11.375" style="26" bestFit="1" customWidth="1"/>
    <col min="9732" max="9984" width="9" style="26"/>
    <col min="9985" max="9985" width="13.625" style="26" bestFit="1" customWidth="1"/>
    <col min="9986" max="9986" width="17" style="26" bestFit="1" customWidth="1"/>
    <col min="9987" max="9987" width="11.375" style="26" bestFit="1" customWidth="1"/>
    <col min="9988" max="10240" width="9" style="26"/>
    <col min="10241" max="10241" width="13.625" style="26" bestFit="1" customWidth="1"/>
    <col min="10242" max="10242" width="17" style="26" bestFit="1" customWidth="1"/>
    <col min="10243" max="10243" width="11.375" style="26" bestFit="1" customWidth="1"/>
    <col min="10244" max="10496" width="9" style="26"/>
    <col min="10497" max="10497" width="13.625" style="26" bestFit="1" customWidth="1"/>
    <col min="10498" max="10498" width="17" style="26" bestFit="1" customWidth="1"/>
    <col min="10499" max="10499" width="11.375" style="26" bestFit="1" customWidth="1"/>
    <col min="10500" max="10752" width="9" style="26"/>
    <col min="10753" max="10753" width="13.625" style="26" bestFit="1" customWidth="1"/>
    <col min="10754" max="10754" width="17" style="26" bestFit="1" customWidth="1"/>
    <col min="10755" max="10755" width="11.375" style="26" bestFit="1" customWidth="1"/>
    <col min="10756" max="11008" width="9" style="26"/>
    <col min="11009" max="11009" width="13.625" style="26" bestFit="1" customWidth="1"/>
    <col min="11010" max="11010" width="17" style="26" bestFit="1" customWidth="1"/>
    <col min="11011" max="11011" width="11.375" style="26" bestFit="1" customWidth="1"/>
    <col min="11012" max="11264" width="9" style="26"/>
    <col min="11265" max="11265" width="13.625" style="26" bestFit="1" customWidth="1"/>
    <col min="11266" max="11266" width="17" style="26" bestFit="1" customWidth="1"/>
    <col min="11267" max="11267" width="11.375" style="26" bestFit="1" customWidth="1"/>
    <col min="11268" max="11520" width="9" style="26"/>
    <col min="11521" max="11521" width="13.625" style="26" bestFit="1" customWidth="1"/>
    <col min="11522" max="11522" width="17" style="26" bestFit="1" customWidth="1"/>
    <col min="11523" max="11523" width="11.375" style="26" bestFit="1" customWidth="1"/>
    <col min="11524" max="11776" width="9" style="26"/>
    <col min="11777" max="11777" width="13.625" style="26" bestFit="1" customWidth="1"/>
    <col min="11778" max="11778" width="17" style="26" bestFit="1" customWidth="1"/>
    <col min="11779" max="11779" width="11.375" style="26" bestFit="1" customWidth="1"/>
    <col min="11780" max="12032" width="9" style="26"/>
    <col min="12033" max="12033" width="13.625" style="26" bestFit="1" customWidth="1"/>
    <col min="12034" max="12034" width="17" style="26" bestFit="1" customWidth="1"/>
    <col min="12035" max="12035" width="11.375" style="26" bestFit="1" customWidth="1"/>
    <col min="12036" max="12288" width="9" style="26"/>
    <col min="12289" max="12289" width="13.625" style="26" bestFit="1" customWidth="1"/>
    <col min="12290" max="12290" width="17" style="26" bestFit="1" customWidth="1"/>
    <col min="12291" max="12291" width="11.375" style="26" bestFit="1" customWidth="1"/>
    <col min="12292" max="12544" width="9" style="26"/>
    <col min="12545" max="12545" width="13.625" style="26" bestFit="1" customWidth="1"/>
    <col min="12546" max="12546" width="17" style="26" bestFit="1" customWidth="1"/>
    <col min="12547" max="12547" width="11.375" style="26" bestFit="1" customWidth="1"/>
    <col min="12548" max="12800" width="9" style="26"/>
    <col min="12801" max="12801" width="13.625" style="26" bestFit="1" customWidth="1"/>
    <col min="12802" max="12802" width="17" style="26" bestFit="1" customWidth="1"/>
    <col min="12803" max="12803" width="11.375" style="26" bestFit="1" customWidth="1"/>
    <col min="12804" max="13056" width="9" style="26"/>
    <col min="13057" max="13057" width="13.625" style="26" bestFit="1" customWidth="1"/>
    <col min="13058" max="13058" width="17" style="26" bestFit="1" customWidth="1"/>
    <col min="13059" max="13059" width="11.375" style="26" bestFit="1" customWidth="1"/>
    <col min="13060" max="13312" width="9" style="26"/>
    <col min="13313" max="13313" width="13.625" style="26" bestFit="1" customWidth="1"/>
    <col min="13314" max="13314" width="17" style="26" bestFit="1" customWidth="1"/>
    <col min="13315" max="13315" width="11.375" style="26" bestFit="1" customWidth="1"/>
    <col min="13316" max="13568" width="9" style="26"/>
    <col min="13569" max="13569" width="13.625" style="26" bestFit="1" customWidth="1"/>
    <col min="13570" max="13570" width="17" style="26" bestFit="1" customWidth="1"/>
    <col min="13571" max="13571" width="11.375" style="26" bestFit="1" customWidth="1"/>
    <col min="13572" max="13824" width="9" style="26"/>
    <col min="13825" max="13825" width="13.625" style="26" bestFit="1" customWidth="1"/>
    <col min="13826" max="13826" width="17" style="26" bestFit="1" customWidth="1"/>
    <col min="13827" max="13827" width="11.375" style="26" bestFit="1" customWidth="1"/>
    <col min="13828" max="14080" width="9" style="26"/>
    <col min="14081" max="14081" width="13.625" style="26" bestFit="1" customWidth="1"/>
    <col min="14082" max="14082" width="17" style="26" bestFit="1" customWidth="1"/>
    <col min="14083" max="14083" width="11.375" style="26" bestFit="1" customWidth="1"/>
    <col min="14084" max="14336" width="9" style="26"/>
    <col min="14337" max="14337" width="13.625" style="26" bestFit="1" customWidth="1"/>
    <col min="14338" max="14338" width="17" style="26" bestFit="1" customWidth="1"/>
    <col min="14339" max="14339" width="11.375" style="26" bestFit="1" customWidth="1"/>
    <col min="14340" max="14592" width="9" style="26"/>
    <col min="14593" max="14593" width="13.625" style="26" bestFit="1" customWidth="1"/>
    <col min="14594" max="14594" width="17" style="26" bestFit="1" customWidth="1"/>
    <col min="14595" max="14595" width="11.375" style="26" bestFit="1" customWidth="1"/>
    <col min="14596" max="14848" width="9" style="26"/>
    <col min="14849" max="14849" width="13.625" style="26" bestFit="1" customWidth="1"/>
    <col min="14850" max="14850" width="17" style="26" bestFit="1" customWidth="1"/>
    <col min="14851" max="14851" width="11.375" style="26" bestFit="1" customWidth="1"/>
    <col min="14852" max="15104" width="9" style="26"/>
    <col min="15105" max="15105" width="13.625" style="26" bestFit="1" customWidth="1"/>
    <col min="15106" max="15106" width="17" style="26" bestFit="1" customWidth="1"/>
    <col min="15107" max="15107" width="11.375" style="26" bestFit="1" customWidth="1"/>
    <col min="15108" max="15360" width="9" style="26"/>
    <col min="15361" max="15361" width="13.625" style="26" bestFit="1" customWidth="1"/>
    <col min="15362" max="15362" width="17" style="26" bestFit="1" customWidth="1"/>
    <col min="15363" max="15363" width="11.375" style="26" bestFit="1" customWidth="1"/>
    <col min="15364" max="15616" width="9" style="26"/>
    <col min="15617" max="15617" width="13.625" style="26" bestFit="1" customWidth="1"/>
    <col min="15618" max="15618" width="17" style="26" bestFit="1" customWidth="1"/>
    <col min="15619" max="15619" width="11.375" style="26" bestFit="1" customWidth="1"/>
    <col min="15620" max="15872" width="9" style="26"/>
    <col min="15873" max="15873" width="13.625" style="26" bestFit="1" customWidth="1"/>
    <col min="15874" max="15874" width="17" style="26" bestFit="1" customWidth="1"/>
    <col min="15875" max="15875" width="11.375" style="26" bestFit="1" customWidth="1"/>
    <col min="15876" max="16128" width="9" style="26"/>
    <col min="16129" max="16129" width="13.625" style="26" bestFit="1" customWidth="1"/>
    <col min="16130" max="16130" width="17" style="26" bestFit="1" customWidth="1"/>
    <col min="16131" max="16131" width="11.375" style="26" bestFit="1" customWidth="1"/>
    <col min="16132" max="16384" width="9" style="26"/>
  </cols>
  <sheetData>
    <row r="1" spans="1:3">
      <c r="A1" s="24" t="s">
        <v>32</v>
      </c>
      <c r="B1" s="25" t="s">
        <v>33</v>
      </c>
      <c r="C1" s="24" t="s">
        <v>34</v>
      </c>
    </row>
    <row r="2" spans="1:3" ht="19.5">
      <c r="A2" s="27" t="s">
        <v>1</v>
      </c>
      <c r="B2" s="28" t="s">
        <v>35</v>
      </c>
      <c r="C2" s="29">
        <f>POWER(10,6)</f>
        <v>1000000</v>
      </c>
    </row>
    <row r="3" spans="1:3">
      <c r="A3" s="27">
        <v>39</v>
      </c>
      <c r="B3" s="30">
        <v>8.84</v>
      </c>
      <c r="C3" s="31">
        <f>B3*$C$2</f>
        <v>8840000</v>
      </c>
    </row>
    <row r="4" spans="1:3">
      <c r="A4" s="27">
        <f>+A3+1</f>
        <v>40</v>
      </c>
      <c r="B4" s="30">
        <v>11.39</v>
      </c>
      <c r="C4" s="31">
        <f t="shared" ref="C4:C10" si="0">B4*$C$2</f>
        <v>11390000</v>
      </c>
    </row>
    <row r="5" spans="1:3">
      <c r="A5" s="27">
        <f t="shared" ref="A5:A10" si="1">+A4+1</f>
        <v>41</v>
      </c>
      <c r="B5" s="30">
        <v>14.51</v>
      </c>
      <c r="C5" s="31">
        <f t="shared" si="0"/>
        <v>14510000</v>
      </c>
    </row>
    <row r="6" spans="1:3">
      <c r="A6" s="27">
        <f t="shared" si="1"/>
        <v>42</v>
      </c>
      <c r="B6" s="30">
        <v>18.399999999999999</v>
      </c>
      <c r="C6" s="31">
        <f t="shared" si="0"/>
        <v>18400000</v>
      </c>
    </row>
    <row r="7" spans="1:3">
      <c r="A7" s="27">
        <f t="shared" si="1"/>
        <v>43</v>
      </c>
      <c r="B7" s="30">
        <v>23.05</v>
      </c>
      <c r="C7" s="31">
        <f t="shared" si="0"/>
        <v>23050000</v>
      </c>
    </row>
    <row r="8" spans="1:3">
      <c r="A8" s="27">
        <f t="shared" si="1"/>
        <v>44</v>
      </c>
      <c r="B8" s="30">
        <v>28.47</v>
      </c>
      <c r="C8" s="31">
        <f t="shared" si="0"/>
        <v>28470000</v>
      </c>
    </row>
    <row r="9" spans="1:3">
      <c r="A9" s="32">
        <f t="shared" si="1"/>
        <v>45</v>
      </c>
      <c r="B9" s="33">
        <v>34.659999999999997</v>
      </c>
      <c r="C9" s="34">
        <f t="shared" si="0"/>
        <v>34660000</v>
      </c>
    </row>
    <row r="10" spans="1:3">
      <c r="A10" s="27">
        <f t="shared" si="1"/>
        <v>46</v>
      </c>
      <c r="B10" s="30">
        <v>41.54</v>
      </c>
      <c r="C10" s="31">
        <f t="shared" si="0"/>
        <v>41540000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4"/>
  <sheetViews>
    <sheetView tabSelected="1" workbookViewId="0">
      <pane ySplit="2" topLeftCell="A3" activePane="bottomLeft" state="frozen"/>
      <selection pane="bottomLeft" sqref="A1:C1"/>
    </sheetView>
  </sheetViews>
  <sheetFormatPr defaultColWidth="11.25" defaultRowHeight="18.75" customHeight="1"/>
  <cols>
    <col min="1" max="3" width="14.875" style="36" customWidth="1"/>
    <col min="4" max="7" width="8" style="36" customWidth="1"/>
    <col min="8" max="16384" width="11.25" style="36"/>
  </cols>
  <sheetData>
    <row r="1" spans="1:7" ht="18.75" customHeight="1">
      <c r="A1" s="43" t="s">
        <v>0</v>
      </c>
      <c r="B1" s="43"/>
      <c r="C1" s="43"/>
      <c r="D1" s="1"/>
      <c r="E1" s="1"/>
      <c r="F1" s="1"/>
      <c r="G1" s="1"/>
    </row>
    <row r="2" spans="1:7" s="38" customFormat="1" ht="18.75" customHeight="1">
      <c r="A2" s="39" t="s">
        <v>1</v>
      </c>
      <c r="B2" s="39" t="s">
        <v>2</v>
      </c>
      <c r="C2" s="42" t="s">
        <v>36</v>
      </c>
      <c r="D2" s="37"/>
      <c r="E2" s="37"/>
      <c r="F2" s="37"/>
      <c r="G2" s="37"/>
    </row>
    <row r="3" spans="1:7" ht="18.75" customHeight="1">
      <c r="A3" s="40">
        <v>37</v>
      </c>
      <c r="B3" s="40">
        <v>4.87</v>
      </c>
      <c r="C3" s="41">
        <f>B3*1000000</f>
        <v>4870000</v>
      </c>
      <c r="D3" s="9"/>
      <c r="E3" s="9"/>
      <c r="F3" s="9"/>
      <c r="G3" s="9"/>
    </row>
    <row r="4" spans="1:7" ht="18.75" customHeight="1">
      <c r="A4" s="40">
        <v>37.1</v>
      </c>
      <c r="B4" s="40">
        <v>5.03</v>
      </c>
      <c r="C4" s="41">
        <f t="shared" ref="C4:C67" si="0">B4*1000000</f>
        <v>5030000</v>
      </c>
      <c r="D4" s="18"/>
      <c r="E4" s="18"/>
      <c r="F4" s="18"/>
      <c r="G4" s="18"/>
    </row>
    <row r="5" spans="1:7" ht="18.75" customHeight="1">
      <c r="A5" s="40">
        <v>37.200000000000003</v>
      </c>
      <c r="B5" s="40">
        <v>5.2</v>
      </c>
      <c r="C5" s="41">
        <f t="shared" si="0"/>
        <v>5200000</v>
      </c>
      <c r="D5" s="18"/>
      <c r="E5" s="18"/>
      <c r="F5" s="18"/>
      <c r="G5" s="18"/>
    </row>
    <row r="6" spans="1:7" ht="18.75" customHeight="1">
      <c r="A6" s="40">
        <v>37.299999999999997</v>
      </c>
      <c r="B6" s="40">
        <v>5.37</v>
      </c>
      <c r="C6" s="41">
        <f t="shared" si="0"/>
        <v>5370000</v>
      </c>
      <c r="D6" s="18"/>
      <c r="E6" s="18"/>
      <c r="F6" s="18"/>
      <c r="G6" s="18"/>
    </row>
    <row r="7" spans="1:7" ht="18.75" customHeight="1">
      <c r="A7" s="40">
        <v>37.4</v>
      </c>
      <c r="B7" s="40">
        <v>5.54</v>
      </c>
      <c r="C7" s="41">
        <f t="shared" si="0"/>
        <v>5540000</v>
      </c>
      <c r="D7" s="18"/>
      <c r="E7" s="18"/>
      <c r="F7" s="18"/>
      <c r="G7" s="18"/>
    </row>
    <row r="8" spans="1:7" ht="18.75" customHeight="1">
      <c r="A8" s="40">
        <v>37.5</v>
      </c>
      <c r="B8" s="40">
        <v>5.72</v>
      </c>
      <c r="C8" s="41">
        <f t="shared" si="0"/>
        <v>5720000</v>
      </c>
      <c r="D8" s="18"/>
      <c r="E8" s="18"/>
      <c r="F8" s="18"/>
      <c r="G8" s="18"/>
    </row>
    <row r="9" spans="1:7" ht="18.75" customHeight="1">
      <c r="A9" s="40">
        <v>37.6</v>
      </c>
      <c r="B9" s="40">
        <v>5.9</v>
      </c>
      <c r="C9" s="41">
        <f t="shared" si="0"/>
        <v>5900000</v>
      </c>
      <c r="D9" s="18"/>
      <c r="E9" s="18"/>
      <c r="F9" s="18"/>
      <c r="G9" s="18"/>
    </row>
    <row r="10" spans="1:7" ht="18.75" customHeight="1">
      <c r="A10" s="40">
        <v>37.700000000000003</v>
      </c>
      <c r="B10" s="40">
        <v>6.08</v>
      </c>
      <c r="C10" s="41">
        <f t="shared" si="0"/>
        <v>6080000</v>
      </c>
      <c r="D10" s="18"/>
      <c r="E10" s="18"/>
      <c r="F10" s="18"/>
      <c r="G10" s="18"/>
    </row>
    <row r="11" spans="1:7" ht="18.75" customHeight="1">
      <c r="A11" s="40">
        <v>37.799999999999997</v>
      </c>
      <c r="B11" s="40">
        <v>6.27</v>
      </c>
      <c r="C11" s="41">
        <f t="shared" si="0"/>
        <v>6270000</v>
      </c>
      <c r="D11" s="18"/>
      <c r="E11" s="18"/>
      <c r="F11" s="18"/>
      <c r="G11" s="18"/>
    </row>
    <row r="12" spans="1:7" ht="18.75" customHeight="1">
      <c r="A12" s="40">
        <v>37.9</v>
      </c>
      <c r="B12" s="40">
        <v>6.47</v>
      </c>
      <c r="C12" s="41">
        <f t="shared" si="0"/>
        <v>6470000</v>
      </c>
      <c r="D12" s="18"/>
      <c r="E12" s="18"/>
      <c r="F12" s="18"/>
      <c r="G12" s="18"/>
    </row>
    <row r="13" spans="1:7" ht="18.75" customHeight="1">
      <c r="A13" s="40">
        <v>38</v>
      </c>
      <c r="B13" s="40">
        <v>6.66</v>
      </c>
      <c r="C13" s="41">
        <f t="shared" si="0"/>
        <v>6660000</v>
      </c>
      <c r="D13" s="18"/>
      <c r="E13" s="18"/>
      <c r="F13" s="18"/>
      <c r="G13" s="18"/>
    </row>
    <row r="14" spans="1:7" ht="18.75" customHeight="1">
      <c r="A14" s="40">
        <v>38.1</v>
      </c>
      <c r="B14" s="40">
        <v>6.86</v>
      </c>
      <c r="C14" s="41">
        <f t="shared" si="0"/>
        <v>6860000</v>
      </c>
      <c r="D14" s="18"/>
      <c r="E14" s="18"/>
      <c r="F14" s="18"/>
      <c r="G14" s="18"/>
    </row>
    <row r="15" spans="1:7" ht="18.75" customHeight="1">
      <c r="A15" s="40">
        <v>38.200000000000003</v>
      </c>
      <c r="B15" s="40">
        <v>7.07</v>
      </c>
      <c r="C15" s="41">
        <f t="shared" si="0"/>
        <v>7070000</v>
      </c>
      <c r="D15" s="18"/>
      <c r="E15" s="18"/>
      <c r="F15" s="18"/>
      <c r="G15" s="18"/>
    </row>
    <row r="16" spans="1:7" ht="18.75" customHeight="1">
      <c r="A16" s="40">
        <v>38.299999999999997</v>
      </c>
      <c r="B16" s="40">
        <v>7.27</v>
      </c>
      <c r="C16" s="41">
        <f t="shared" si="0"/>
        <v>7270000</v>
      </c>
      <c r="D16" s="18"/>
      <c r="E16" s="18"/>
      <c r="F16" s="18"/>
      <c r="G16" s="18"/>
    </row>
    <row r="17" spans="1:7" ht="18.75" customHeight="1">
      <c r="A17" s="40">
        <v>38.4</v>
      </c>
      <c r="B17" s="40">
        <v>7.49</v>
      </c>
      <c r="C17" s="41">
        <f t="shared" si="0"/>
        <v>7490000</v>
      </c>
      <c r="D17" s="18"/>
      <c r="E17" s="18"/>
      <c r="F17" s="18"/>
      <c r="G17" s="18"/>
    </row>
    <row r="18" spans="1:7" ht="18.75" customHeight="1">
      <c r="A18" s="40">
        <v>38.5</v>
      </c>
      <c r="B18" s="40">
        <v>7.7</v>
      </c>
      <c r="C18" s="41">
        <f t="shared" si="0"/>
        <v>7700000</v>
      </c>
      <c r="D18" s="18"/>
      <c r="E18" s="18"/>
      <c r="F18" s="18"/>
      <c r="G18" s="18"/>
    </row>
    <row r="19" spans="1:7" ht="18.75" customHeight="1">
      <c r="A19" s="40">
        <v>38.6</v>
      </c>
      <c r="B19" s="40">
        <v>7.92</v>
      </c>
      <c r="C19" s="41">
        <f t="shared" si="0"/>
        <v>7920000</v>
      </c>
      <c r="D19" s="18"/>
      <c r="E19" s="18"/>
      <c r="F19" s="18"/>
      <c r="G19" s="18"/>
    </row>
    <row r="20" spans="1:7" ht="18.75" customHeight="1">
      <c r="A20" s="40">
        <v>38.700000000000003</v>
      </c>
      <c r="B20" s="40">
        <v>8.14</v>
      </c>
      <c r="C20" s="41">
        <f t="shared" si="0"/>
        <v>8140000.0000000009</v>
      </c>
      <c r="D20" s="9"/>
      <c r="E20" s="9"/>
      <c r="F20" s="9"/>
      <c r="G20" s="9"/>
    </row>
    <row r="21" spans="1:7" ht="18.75" customHeight="1">
      <c r="A21" s="40">
        <v>38.799999999999997</v>
      </c>
      <c r="B21" s="40">
        <v>8.3699999999999992</v>
      </c>
      <c r="C21" s="41">
        <f t="shared" si="0"/>
        <v>8369999.9999999991</v>
      </c>
      <c r="D21" s="9"/>
      <c r="E21" s="9"/>
      <c r="F21" s="9"/>
      <c r="G21" s="9"/>
    </row>
    <row r="22" spans="1:7" ht="18.75" customHeight="1">
      <c r="A22" s="40">
        <v>38.9</v>
      </c>
      <c r="B22" s="40">
        <v>8.6</v>
      </c>
      <c r="C22" s="41">
        <f t="shared" si="0"/>
        <v>8600000</v>
      </c>
      <c r="D22" s="9"/>
      <c r="E22" s="9"/>
      <c r="F22" s="9"/>
      <c r="G22" s="9"/>
    </row>
    <row r="23" spans="1:7" ht="18.75" customHeight="1">
      <c r="A23" s="40">
        <v>39</v>
      </c>
      <c r="B23" s="40">
        <v>8.84</v>
      </c>
      <c r="C23" s="41">
        <f t="shared" si="0"/>
        <v>8840000</v>
      </c>
      <c r="D23" s="9"/>
      <c r="E23" s="9"/>
      <c r="F23" s="9"/>
      <c r="G23" s="9"/>
    </row>
    <row r="24" spans="1:7" ht="18.75" customHeight="1">
      <c r="A24" s="40">
        <v>39.1</v>
      </c>
      <c r="B24" s="40">
        <v>9.07</v>
      </c>
      <c r="C24" s="41">
        <f t="shared" si="0"/>
        <v>9070000</v>
      </c>
      <c r="D24" s="9"/>
      <c r="E24" s="9"/>
      <c r="F24" s="9"/>
      <c r="G24" s="9"/>
    </row>
    <row r="25" spans="1:7" ht="18.75" customHeight="1">
      <c r="A25" s="40">
        <v>39.200000000000003</v>
      </c>
      <c r="B25" s="40">
        <v>9.32</v>
      </c>
      <c r="C25" s="41">
        <f t="shared" si="0"/>
        <v>9320000</v>
      </c>
      <c r="D25" s="9"/>
      <c r="E25" s="9"/>
      <c r="F25" s="9"/>
      <c r="G25" s="9"/>
    </row>
    <row r="26" spans="1:7" ht="18.75" customHeight="1">
      <c r="A26" s="40">
        <v>39.299999999999997</v>
      </c>
      <c r="B26" s="40">
        <v>9.56</v>
      </c>
      <c r="C26" s="41">
        <f t="shared" si="0"/>
        <v>9560000</v>
      </c>
      <c r="D26" s="9"/>
      <c r="E26" s="9"/>
      <c r="F26" s="9"/>
      <c r="G26" s="9"/>
    </row>
    <row r="27" spans="1:7" ht="18.75" customHeight="1">
      <c r="A27" s="40">
        <v>39.4</v>
      </c>
      <c r="B27" s="40">
        <v>9.81</v>
      </c>
      <c r="C27" s="41">
        <f t="shared" si="0"/>
        <v>9810000</v>
      </c>
      <c r="D27" s="9"/>
      <c r="E27" s="9"/>
      <c r="F27" s="9"/>
      <c r="G27" s="9"/>
    </row>
    <row r="28" spans="1:7" ht="18.75" customHeight="1">
      <c r="A28" s="40">
        <v>39.5</v>
      </c>
      <c r="B28" s="40">
        <v>10.06</v>
      </c>
      <c r="C28" s="41">
        <f t="shared" si="0"/>
        <v>10060000</v>
      </c>
      <c r="D28" s="9"/>
      <c r="E28" s="9"/>
      <c r="F28" s="9"/>
      <c r="G28" s="9"/>
    </row>
    <row r="29" spans="1:7" ht="18.75" customHeight="1">
      <c r="A29" s="40">
        <v>39.6</v>
      </c>
      <c r="B29" s="40">
        <v>10.32</v>
      </c>
      <c r="C29" s="41">
        <f t="shared" si="0"/>
        <v>10320000</v>
      </c>
      <c r="D29" s="9"/>
      <c r="E29" s="9"/>
      <c r="F29" s="9"/>
      <c r="G29" s="9"/>
    </row>
    <row r="30" spans="1:7" ht="18.75" customHeight="1">
      <c r="A30" s="40">
        <v>39.700000000000003</v>
      </c>
      <c r="B30" s="40">
        <v>10.58</v>
      </c>
      <c r="C30" s="41">
        <f t="shared" si="0"/>
        <v>10580000</v>
      </c>
      <c r="D30" s="9"/>
      <c r="E30" s="9"/>
      <c r="F30" s="9"/>
      <c r="G30" s="9"/>
    </row>
    <row r="31" spans="1:7" ht="18.75" customHeight="1">
      <c r="A31" s="40">
        <v>39.799999999999997</v>
      </c>
      <c r="B31" s="40">
        <v>10.85</v>
      </c>
      <c r="C31" s="41">
        <f t="shared" si="0"/>
        <v>10850000</v>
      </c>
      <c r="D31" s="18"/>
      <c r="E31" s="18"/>
      <c r="F31" s="18"/>
      <c r="G31" s="18"/>
    </row>
    <row r="32" spans="1:7" ht="18.75" customHeight="1">
      <c r="A32" s="40">
        <v>39.9</v>
      </c>
      <c r="B32" s="40">
        <v>11.11</v>
      </c>
      <c r="C32" s="41">
        <f t="shared" si="0"/>
        <v>11110000</v>
      </c>
      <c r="D32" s="18"/>
      <c r="E32" s="18"/>
      <c r="F32" s="18"/>
      <c r="G32" s="18"/>
    </row>
    <row r="33" spans="1:7" ht="18.75" customHeight="1">
      <c r="A33" s="40">
        <v>40</v>
      </c>
      <c r="B33" s="40">
        <v>11.39</v>
      </c>
      <c r="C33" s="41">
        <f t="shared" si="0"/>
        <v>11390000</v>
      </c>
      <c r="D33" s="9"/>
      <c r="E33" s="9"/>
      <c r="F33" s="9"/>
      <c r="G33" s="9"/>
    </row>
    <row r="34" spans="1:7" ht="18.75" customHeight="1">
      <c r="A34" s="40">
        <v>40.1</v>
      </c>
      <c r="B34" s="40">
        <v>11.66</v>
      </c>
      <c r="C34" s="41">
        <f t="shared" si="0"/>
        <v>11660000</v>
      </c>
      <c r="D34" s="18"/>
      <c r="E34" s="18"/>
      <c r="F34" s="18"/>
      <c r="G34" s="18"/>
    </row>
    <row r="35" spans="1:7" ht="18.75" customHeight="1">
      <c r="A35" s="40">
        <v>40.200000000000003</v>
      </c>
      <c r="B35" s="40">
        <v>11.95</v>
      </c>
      <c r="C35" s="41">
        <f t="shared" si="0"/>
        <v>11950000</v>
      </c>
      <c r="D35" s="18"/>
      <c r="E35" s="18"/>
      <c r="F35" s="18"/>
      <c r="G35" s="18"/>
    </row>
    <row r="36" spans="1:7" ht="18.75" customHeight="1">
      <c r="A36" s="40">
        <v>40.299999999999997</v>
      </c>
      <c r="B36" s="40">
        <v>12.24</v>
      </c>
      <c r="C36" s="41">
        <f t="shared" si="0"/>
        <v>12240000</v>
      </c>
      <c r="D36" s="1"/>
      <c r="E36" s="1"/>
      <c r="F36" s="1"/>
      <c r="G36" s="1"/>
    </row>
    <row r="37" spans="1:7" ht="18.75" customHeight="1">
      <c r="A37" s="40">
        <v>40.4</v>
      </c>
      <c r="B37" s="40">
        <v>12.54</v>
      </c>
      <c r="C37" s="41">
        <f t="shared" si="0"/>
        <v>12540000</v>
      </c>
      <c r="D37" s="1"/>
      <c r="E37" s="1"/>
      <c r="F37" s="1"/>
      <c r="G37" s="1"/>
    </row>
    <row r="38" spans="1:7" ht="18.75" customHeight="1">
      <c r="A38" s="40">
        <v>40.5</v>
      </c>
      <c r="B38" s="40">
        <v>12.85</v>
      </c>
      <c r="C38" s="41">
        <f t="shared" si="0"/>
        <v>12850000</v>
      </c>
      <c r="D38" s="1"/>
      <c r="E38" s="1"/>
      <c r="F38" s="1"/>
      <c r="G38" s="1"/>
    </row>
    <row r="39" spans="1:7" ht="18.75" customHeight="1">
      <c r="A39" s="40">
        <v>40.6</v>
      </c>
      <c r="B39" s="40">
        <v>13.17</v>
      </c>
      <c r="C39" s="41">
        <f t="shared" si="0"/>
        <v>13170000</v>
      </c>
      <c r="D39" s="1"/>
      <c r="E39" s="1"/>
      <c r="F39" s="1"/>
      <c r="G39" s="1"/>
    </row>
    <row r="40" spans="1:7" ht="18.75" customHeight="1">
      <c r="A40" s="40">
        <v>40.700000000000003</v>
      </c>
      <c r="B40" s="40">
        <v>13.49</v>
      </c>
      <c r="C40" s="41">
        <f t="shared" si="0"/>
        <v>13490000</v>
      </c>
      <c r="D40" s="1"/>
      <c r="E40" s="1"/>
      <c r="F40" s="1"/>
      <c r="G40" s="1"/>
    </row>
    <row r="41" spans="1:7" ht="18.75" customHeight="1">
      <c r="A41" s="40">
        <v>40.799999999999997</v>
      </c>
      <c r="B41" s="40">
        <v>13.82</v>
      </c>
      <c r="C41" s="41">
        <f t="shared" si="0"/>
        <v>13820000</v>
      </c>
      <c r="D41" s="1"/>
      <c r="E41" s="1"/>
      <c r="F41" s="1"/>
      <c r="G41" s="1"/>
    </row>
    <row r="42" spans="1:7" ht="18.75" customHeight="1">
      <c r="A42" s="40">
        <v>40.9</v>
      </c>
      <c r="B42" s="40">
        <v>14.16</v>
      </c>
      <c r="C42" s="41">
        <f t="shared" si="0"/>
        <v>14160000</v>
      </c>
      <c r="D42" s="1"/>
      <c r="E42" s="1"/>
      <c r="F42" s="1"/>
      <c r="G42" s="1"/>
    </row>
    <row r="43" spans="1:7" ht="18.75" customHeight="1">
      <c r="A43" s="40">
        <v>41</v>
      </c>
      <c r="B43" s="40">
        <v>14.51</v>
      </c>
      <c r="C43" s="41">
        <f t="shared" si="0"/>
        <v>14510000</v>
      </c>
      <c r="D43" s="1"/>
      <c r="E43" s="1"/>
      <c r="F43" s="1"/>
      <c r="G43" s="1"/>
    </row>
    <row r="44" spans="1:7" ht="18.75" customHeight="1">
      <c r="A44" s="40">
        <v>41.1</v>
      </c>
      <c r="B44" s="40">
        <v>14.86</v>
      </c>
      <c r="C44" s="41">
        <f t="shared" si="0"/>
        <v>14860000</v>
      </c>
      <c r="D44" s="9"/>
      <c r="E44" s="9"/>
      <c r="F44" s="9"/>
      <c r="G44" s="9"/>
    </row>
    <row r="45" spans="1:7" ht="18.75" customHeight="1">
      <c r="A45" s="40">
        <v>41.2</v>
      </c>
      <c r="B45" s="40">
        <v>15.23</v>
      </c>
      <c r="C45" s="41">
        <f t="shared" si="0"/>
        <v>15230000</v>
      </c>
      <c r="D45" s="1"/>
      <c r="E45" s="1"/>
      <c r="F45" s="1"/>
      <c r="G45" s="1"/>
    </row>
    <row r="46" spans="1:7" ht="18.75" customHeight="1">
      <c r="A46" s="40">
        <v>41.3</v>
      </c>
      <c r="B46" s="40">
        <v>15.6</v>
      </c>
      <c r="C46" s="41">
        <f t="shared" si="0"/>
        <v>15600000</v>
      </c>
      <c r="D46" s="1"/>
      <c r="E46" s="1"/>
      <c r="F46" s="1"/>
      <c r="G46" s="1"/>
    </row>
    <row r="47" spans="1:7" ht="18.75" customHeight="1">
      <c r="A47" s="40">
        <v>41.4</v>
      </c>
      <c r="B47" s="40">
        <v>15.97</v>
      </c>
      <c r="C47" s="41">
        <f t="shared" si="0"/>
        <v>15970000</v>
      </c>
      <c r="D47" s="1"/>
      <c r="E47" s="1"/>
      <c r="F47" s="1"/>
      <c r="G47" s="1"/>
    </row>
    <row r="48" spans="1:7" ht="18.75" customHeight="1">
      <c r="A48" s="40">
        <v>41.5</v>
      </c>
      <c r="B48" s="40">
        <v>16.36</v>
      </c>
      <c r="C48" s="41">
        <f t="shared" si="0"/>
        <v>16360000</v>
      </c>
      <c r="D48" s="1"/>
      <c r="E48" s="1"/>
      <c r="F48" s="1"/>
      <c r="G48" s="1"/>
    </row>
    <row r="49" spans="1:7" ht="18.75" customHeight="1">
      <c r="A49" s="40">
        <v>41.6</v>
      </c>
      <c r="B49" s="40">
        <v>16.75</v>
      </c>
      <c r="C49" s="41">
        <f t="shared" si="0"/>
        <v>16750000</v>
      </c>
      <c r="D49" s="1"/>
      <c r="E49" s="1"/>
      <c r="F49" s="1"/>
      <c r="G49" s="1"/>
    </row>
    <row r="50" spans="1:7" ht="18.75" customHeight="1">
      <c r="A50" s="40">
        <v>41.7</v>
      </c>
      <c r="B50" s="40">
        <v>17.149999999999999</v>
      </c>
      <c r="C50" s="41">
        <f t="shared" si="0"/>
        <v>17150000</v>
      </c>
      <c r="D50" s="1"/>
      <c r="E50" s="1"/>
      <c r="F50" s="1"/>
      <c r="G50" s="1"/>
    </row>
    <row r="51" spans="1:7" ht="18.75" customHeight="1">
      <c r="A51" s="40">
        <v>41.8</v>
      </c>
      <c r="B51" s="40">
        <v>17.559999999999999</v>
      </c>
      <c r="C51" s="41">
        <f t="shared" si="0"/>
        <v>17560000</v>
      </c>
      <c r="D51" s="1"/>
      <c r="E51" s="1"/>
      <c r="F51" s="1"/>
      <c r="G51" s="1"/>
    </row>
    <row r="52" spans="1:7" ht="18.75" customHeight="1">
      <c r="A52" s="40">
        <v>41.9</v>
      </c>
      <c r="B52" s="40">
        <v>17.97</v>
      </c>
      <c r="C52" s="41">
        <f t="shared" si="0"/>
        <v>17970000</v>
      </c>
      <c r="D52" s="1"/>
      <c r="E52" s="1"/>
      <c r="F52" s="1"/>
      <c r="G52" s="1"/>
    </row>
    <row r="53" spans="1:7" ht="18.75" customHeight="1">
      <c r="A53" s="40">
        <v>42</v>
      </c>
      <c r="B53" s="40">
        <v>18.399999999999999</v>
      </c>
      <c r="C53" s="41">
        <f t="shared" si="0"/>
        <v>18400000</v>
      </c>
      <c r="D53" s="1"/>
      <c r="E53" s="1"/>
      <c r="F53" s="1"/>
      <c r="G53" s="1"/>
    </row>
    <row r="54" spans="1:7" ht="18.75" customHeight="1">
      <c r="A54" s="40">
        <v>42.1</v>
      </c>
      <c r="B54" s="40">
        <v>18.829999999999998</v>
      </c>
      <c r="C54" s="41">
        <f t="shared" si="0"/>
        <v>18830000</v>
      </c>
      <c r="D54" s="18"/>
      <c r="E54" s="18"/>
      <c r="F54" s="18"/>
      <c r="G54" s="18"/>
    </row>
    <row r="55" spans="1:7" ht="18.75" customHeight="1">
      <c r="A55" s="40">
        <v>42.2</v>
      </c>
      <c r="B55" s="40">
        <v>19.27</v>
      </c>
      <c r="C55" s="41">
        <f t="shared" si="0"/>
        <v>19270000</v>
      </c>
      <c r="D55" s="1"/>
      <c r="E55" s="1"/>
      <c r="F55" s="1"/>
      <c r="G55" s="1"/>
    </row>
    <row r="56" spans="1:7" ht="18.75" customHeight="1">
      <c r="A56" s="40">
        <v>42.3</v>
      </c>
      <c r="B56" s="40">
        <v>19.71</v>
      </c>
      <c r="C56" s="41">
        <f t="shared" si="0"/>
        <v>19710000</v>
      </c>
      <c r="D56" s="1"/>
      <c r="E56" s="1"/>
      <c r="F56" s="1"/>
      <c r="G56" s="1"/>
    </row>
    <row r="57" spans="1:7" ht="18.75" customHeight="1">
      <c r="A57" s="40">
        <v>42.4</v>
      </c>
      <c r="B57" s="40">
        <v>20.170000000000002</v>
      </c>
      <c r="C57" s="41">
        <f t="shared" si="0"/>
        <v>20170000</v>
      </c>
      <c r="D57" s="1"/>
      <c r="E57" s="1"/>
      <c r="F57" s="1"/>
      <c r="G57" s="1"/>
    </row>
    <row r="58" spans="1:7" ht="18.75" customHeight="1">
      <c r="A58" s="40">
        <v>42.5</v>
      </c>
      <c r="B58" s="40">
        <v>20.63</v>
      </c>
      <c r="C58" s="41">
        <f t="shared" si="0"/>
        <v>20630000</v>
      </c>
      <c r="D58" s="1"/>
      <c r="E58" s="1"/>
      <c r="F58" s="1"/>
      <c r="G58" s="1"/>
    </row>
    <row r="59" spans="1:7" ht="18.75" customHeight="1">
      <c r="A59" s="40">
        <v>42.6</v>
      </c>
      <c r="B59" s="40">
        <v>21.1</v>
      </c>
      <c r="C59" s="41">
        <f t="shared" si="0"/>
        <v>21100000</v>
      </c>
      <c r="D59" s="1"/>
      <c r="E59" s="1"/>
      <c r="F59" s="1"/>
      <c r="G59" s="1"/>
    </row>
    <row r="60" spans="1:7" ht="18.75" customHeight="1">
      <c r="A60" s="40">
        <v>42.7</v>
      </c>
      <c r="B60" s="40">
        <v>21.38</v>
      </c>
      <c r="C60" s="41">
        <f t="shared" si="0"/>
        <v>21380000</v>
      </c>
      <c r="D60" s="1"/>
      <c r="E60" s="1"/>
      <c r="F60" s="1"/>
      <c r="G60" s="1"/>
    </row>
    <row r="61" spans="1:7" ht="18.75" customHeight="1">
      <c r="A61" s="40">
        <v>42.8</v>
      </c>
      <c r="B61" s="40">
        <v>22.06</v>
      </c>
      <c r="C61" s="41">
        <f t="shared" si="0"/>
        <v>22060000</v>
      </c>
      <c r="D61" s="1"/>
      <c r="E61" s="1"/>
      <c r="F61" s="1"/>
      <c r="G61" s="1"/>
    </row>
    <row r="62" spans="1:7" ht="18.75" customHeight="1">
      <c r="A62" s="40">
        <v>42.9</v>
      </c>
      <c r="B62" s="40">
        <v>22.55</v>
      </c>
      <c r="C62" s="41">
        <f t="shared" si="0"/>
        <v>22550000</v>
      </c>
      <c r="D62" s="1"/>
      <c r="E62" s="1"/>
      <c r="F62" s="1"/>
      <c r="G62" s="1"/>
    </row>
    <row r="63" spans="1:7" ht="18.75" customHeight="1">
      <c r="A63" s="40">
        <v>43</v>
      </c>
      <c r="B63" s="40">
        <v>23.05</v>
      </c>
      <c r="C63" s="41">
        <f t="shared" si="0"/>
        <v>23050000</v>
      </c>
      <c r="D63" s="1"/>
      <c r="E63" s="1"/>
      <c r="F63" s="1"/>
      <c r="G63" s="1"/>
    </row>
    <row r="64" spans="1:7" ht="18.75" customHeight="1">
      <c r="A64" s="40">
        <v>43.1</v>
      </c>
      <c r="B64" s="40">
        <v>23.56</v>
      </c>
      <c r="C64" s="41">
        <f t="shared" si="0"/>
        <v>23560000</v>
      </c>
      <c r="D64" s="18"/>
      <c r="E64" s="18"/>
      <c r="F64" s="18"/>
      <c r="G64" s="18"/>
    </row>
    <row r="65" spans="1:7" ht="18.75" customHeight="1">
      <c r="A65" s="40">
        <v>43.2</v>
      </c>
      <c r="B65" s="40">
        <v>24.08</v>
      </c>
      <c r="C65" s="41">
        <f t="shared" si="0"/>
        <v>24080000</v>
      </c>
      <c r="D65" s="1"/>
      <c r="E65" s="1"/>
      <c r="F65" s="1"/>
      <c r="G65" s="1"/>
    </row>
    <row r="66" spans="1:7" ht="18.75" customHeight="1">
      <c r="A66" s="40">
        <v>43.3</v>
      </c>
      <c r="B66" s="40">
        <v>24.6</v>
      </c>
      <c r="C66" s="41">
        <f t="shared" si="0"/>
        <v>24600000</v>
      </c>
      <c r="D66" s="1"/>
      <c r="E66" s="1"/>
      <c r="F66" s="1"/>
      <c r="G66" s="1"/>
    </row>
    <row r="67" spans="1:7" ht="18.75" customHeight="1">
      <c r="A67" s="40">
        <v>43.4</v>
      </c>
      <c r="B67" s="40">
        <v>25.13</v>
      </c>
      <c r="C67" s="41">
        <f t="shared" si="0"/>
        <v>25130000</v>
      </c>
      <c r="D67" s="1"/>
      <c r="E67" s="1"/>
      <c r="F67" s="1"/>
      <c r="G67" s="1"/>
    </row>
    <row r="68" spans="1:7" ht="18.75" customHeight="1">
      <c r="A68" s="40">
        <v>43.5</v>
      </c>
      <c r="B68" s="40">
        <v>25.67</v>
      </c>
      <c r="C68" s="41">
        <f t="shared" ref="C68:C86" si="1">B68*1000000</f>
        <v>25670000</v>
      </c>
      <c r="D68" s="1"/>
      <c r="E68" s="1"/>
      <c r="F68" s="1"/>
      <c r="G68" s="1"/>
    </row>
    <row r="69" spans="1:7" ht="18.75" customHeight="1">
      <c r="A69" s="40">
        <v>43.6</v>
      </c>
      <c r="B69" s="40">
        <v>26.21</v>
      </c>
      <c r="C69" s="41">
        <f t="shared" si="1"/>
        <v>26210000</v>
      </c>
      <c r="D69" s="1"/>
      <c r="E69" s="1"/>
      <c r="F69" s="1"/>
      <c r="G69" s="1"/>
    </row>
    <row r="70" spans="1:7" ht="18.75" customHeight="1">
      <c r="A70" s="40">
        <v>43.7</v>
      </c>
      <c r="B70" s="40">
        <v>26.77</v>
      </c>
      <c r="C70" s="41">
        <f t="shared" si="1"/>
        <v>26770000</v>
      </c>
      <c r="D70" s="1"/>
      <c r="E70" s="1"/>
      <c r="F70" s="1"/>
      <c r="G70" s="1"/>
    </row>
    <row r="71" spans="1:7" ht="18.75" customHeight="1">
      <c r="A71" s="40">
        <v>43.8</v>
      </c>
      <c r="B71" s="40">
        <v>27.33</v>
      </c>
      <c r="C71" s="41">
        <f t="shared" si="1"/>
        <v>27330000</v>
      </c>
      <c r="D71" s="1"/>
      <c r="E71" s="1"/>
      <c r="F71" s="1"/>
      <c r="G71" s="1"/>
    </row>
    <row r="72" spans="1:7" ht="18.75" customHeight="1">
      <c r="A72" s="40">
        <v>43.9</v>
      </c>
      <c r="B72" s="40">
        <v>27.9</v>
      </c>
      <c r="C72" s="41">
        <f t="shared" si="1"/>
        <v>27900000</v>
      </c>
      <c r="D72" s="1"/>
      <c r="E72" s="1"/>
      <c r="F72" s="1"/>
      <c r="G72" s="1"/>
    </row>
    <row r="73" spans="1:7" ht="18.75" customHeight="1">
      <c r="A73" s="40">
        <v>44</v>
      </c>
      <c r="B73" s="40">
        <v>28.47</v>
      </c>
      <c r="C73" s="41">
        <f t="shared" si="1"/>
        <v>28470000</v>
      </c>
      <c r="D73" s="1"/>
      <c r="E73" s="1"/>
      <c r="F73" s="1"/>
      <c r="G73" s="1"/>
    </row>
    <row r="74" spans="1:7" ht="18.75" customHeight="1">
      <c r="A74" s="40">
        <v>44.1</v>
      </c>
      <c r="B74" s="40">
        <v>29.06</v>
      </c>
      <c r="C74" s="41">
        <f t="shared" si="1"/>
        <v>29060000</v>
      </c>
      <c r="D74" s="1"/>
      <c r="E74" s="1"/>
      <c r="F74" s="1"/>
      <c r="G74" s="1"/>
    </row>
    <row r="75" spans="1:7" ht="18.75" customHeight="1">
      <c r="A75" s="40">
        <v>44.2</v>
      </c>
      <c r="B75" s="40">
        <v>29.65</v>
      </c>
      <c r="C75" s="41">
        <f t="shared" si="1"/>
        <v>29650000</v>
      </c>
      <c r="D75" s="1"/>
      <c r="E75" s="1"/>
      <c r="F75" s="1"/>
      <c r="G75" s="1"/>
    </row>
    <row r="76" spans="1:7" ht="18.75" customHeight="1">
      <c r="A76" s="40">
        <v>44.3</v>
      </c>
      <c r="B76" s="40">
        <v>30.25</v>
      </c>
      <c r="C76" s="41">
        <f t="shared" si="1"/>
        <v>30250000</v>
      </c>
      <c r="D76" s="9"/>
      <c r="E76" s="9"/>
      <c r="F76" s="9"/>
      <c r="G76" s="9"/>
    </row>
    <row r="77" spans="1:7" ht="18.75" customHeight="1">
      <c r="A77" s="40">
        <v>44.4</v>
      </c>
      <c r="B77" s="40">
        <v>30.86</v>
      </c>
      <c r="C77" s="41">
        <f t="shared" si="1"/>
        <v>30860000</v>
      </c>
      <c r="D77" s="1"/>
      <c r="E77" s="1"/>
      <c r="F77" s="1"/>
      <c r="G77" s="1"/>
    </row>
    <row r="78" spans="1:7" ht="18.75" customHeight="1">
      <c r="A78" s="40">
        <v>44.5</v>
      </c>
      <c r="B78" s="40">
        <v>31.47</v>
      </c>
      <c r="C78" s="41">
        <f t="shared" si="1"/>
        <v>31470000</v>
      </c>
      <c r="D78" s="1"/>
      <c r="E78" s="1"/>
      <c r="F78" s="1"/>
      <c r="G78" s="1"/>
    </row>
    <row r="79" spans="1:7" ht="18.75" customHeight="1">
      <c r="A79" s="40">
        <v>44.6</v>
      </c>
      <c r="B79" s="40">
        <v>32.090000000000003</v>
      </c>
      <c r="C79" s="41">
        <f t="shared" si="1"/>
        <v>32090000.000000004</v>
      </c>
      <c r="D79" s="1"/>
      <c r="E79" s="1"/>
      <c r="F79" s="1"/>
      <c r="G79" s="1"/>
    </row>
    <row r="80" spans="1:7" ht="18.75" customHeight="1">
      <c r="A80" s="40">
        <v>44.7</v>
      </c>
      <c r="B80" s="40">
        <v>32.72</v>
      </c>
      <c r="C80" s="41">
        <f t="shared" si="1"/>
        <v>32720000</v>
      </c>
      <c r="D80" s="1"/>
      <c r="E80" s="1"/>
      <c r="F80" s="1"/>
      <c r="G80" s="1"/>
    </row>
    <row r="81" spans="1:7" ht="18.75" customHeight="1">
      <c r="A81" s="40">
        <v>44.8</v>
      </c>
      <c r="B81" s="40">
        <v>33.36</v>
      </c>
      <c r="C81" s="41">
        <f t="shared" si="1"/>
        <v>33360000</v>
      </c>
      <c r="D81" s="1"/>
      <c r="E81" s="1"/>
      <c r="F81" s="1"/>
      <c r="G81" s="1"/>
    </row>
    <row r="82" spans="1:7" ht="18.75" customHeight="1">
      <c r="A82" s="40">
        <v>44.9</v>
      </c>
      <c r="B82" s="40">
        <v>34.01</v>
      </c>
      <c r="C82" s="41">
        <f t="shared" si="1"/>
        <v>34010000</v>
      </c>
      <c r="D82" s="1"/>
      <c r="E82" s="1"/>
      <c r="F82" s="1"/>
      <c r="G82" s="1"/>
    </row>
    <row r="83" spans="1:7" ht="18.75" customHeight="1">
      <c r="A83" s="40">
        <v>45</v>
      </c>
      <c r="B83" s="40">
        <v>34.659999999999997</v>
      </c>
      <c r="C83" s="41">
        <f t="shared" si="1"/>
        <v>34660000</v>
      </c>
      <c r="D83" s="1"/>
      <c r="E83" s="1"/>
      <c r="F83" s="1"/>
      <c r="G83" s="1"/>
    </row>
    <row r="84" spans="1:7" ht="18.75" customHeight="1">
      <c r="A84" s="40">
        <v>45.1</v>
      </c>
      <c r="B84" s="40">
        <v>35.32</v>
      </c>
      <c r="C84" s="41">
        <f t="shared" si="1"/>
        <v>35320000</v>
      </c>
      <c r="D84" s="1"/>
      <c r="E84" s="1"/>
      <c r="F84" s="1"/>
      <c r="G84" s="1"/>
    </row>
    <row r="85" spans="1:7" ht="18.75" customHeight="1">
      <c r="A85" s="40">
        <v>45.2</v>
      </c>
      <c r="B85" s="40">
        <v>35.99</v>
      </c>
      <c r="C85" s="41">
        <f t="shared" si="1"/>
        <v>35990000</v>
      </c>
      <c r="D85" s="1"/>
      <c r="E85" s="1"/>
      <c r="F85" s="1"/>
      <c r="G85" s="1"/>
    </row>
    <row r="86" spans="1:7" ht="18.75" customHeight="1">
      <c r="A86" s="40">
        <v>45.3</v>
      </c>
      <c r="B86" s="40">
        <v>36.659999999999997</v>
      </c>
      <c r="C86" s="41">
        <f t="shared" si="1"/>
        <v>36660000</v>
      </c>
      <c r="D86" s="18"/>
      <c r="E86" s="18"/>
      <c r="F86" s="18"/>
      <c r="G86" s="18"/>
    </row>
    <row r="87" spans="1:7" ht="18.75" customHeight="1">
      <c r="A87" s="1"/>
      <c r="B87" s="1"/>
      <c r="C87" s="1"/>
      <c r="D87" s="1"/>
      <c r="E87" s="1"/>
      <c r="F87" s="1"/>
      <c r="G87" s="1"/>
    </row>
    <row r="88" spans="1:7" ht="18.75" customHeight="1">
      <c r="A88" s="1"/>
      <c r="B88" s="1"/>
      <c r="C88" s="1"/>
      <c r="D88" s="1"/>
      <c r="E88" s="1"/>
      <c r="F88" s="1"/>
      <c r="G88" s="1"/>
    </row>
    <row r="89" spans="1:7" ht="18.75" customHeight="1">
      <c r="A89" s="1"/>
      <c r="B89" s="1"/>
      <c r="C89" s="1"/>
      <c r="D89" s="1"/>
      <c r="E89" s="1"/>
      <c r="F89" s="1"/>
      <c r="G89" s="1"/>
    </row>
    <row r="90" spans="1:7" ht="18.75" customHeight="1">
      <c r="A90" s="1"/>
      <c r="B90" s="1"/>
      <c r="C90" s="1"/>
      <c r="D90" s="1"/>
      <c r="E90" s="1"/>
      <c r="F90" s="1"/>
      <c r="G90" s="1"/>
    </row>
    <row r="91" spans="1:7" ht="18.75" customHeight="1">
      <c r="A91" s="1"/>
      <c r="B91" s="1"/>
      <c r="C91" s="1"/>
      <c r="D91" s="1"/>
      <c r="E91" s="1"/>
      <c r="F91" s="1"/>
      <c r="G91" s="1"/>
    </row>
    <row r="92" spans="1:7" ht="18.75" customHeight="1">
      <c r="A92" s="1"/>
      <c r="B92" s="1"/>
      <c r="C92" s="1"/>
      <c r="D92" s="1"/>
      <c r="E92" s="1"/>
      <c r="F92" s="1"/>
      <c r="G92" s="1"/>
    </row>
    <row r="93" spans="1:7" ht="18.75" customHeight="1">
      <c r="A93" s="1"/>
      <c r="B93" s="1"/>
      <c r="C93" s="1"/>
      <c r="D93" s="1"/>
      <c r="E93" s="1"/>
      <c r="F93" s="1"/>
      <c r="G93" s="1"/>
    </row>
    <row r="94" spans="1:7" ht="18.75" customHeight="1">
      <c r="A94" s="1"/>
      <c r="B94" s="1"/>
      <c r="C94" s="1"/>
      <c r="D94" s="1"/>
      <c r="E94" s="1"/>
      <c r="F94" s="1"/>
      <c r="G94" s="1"/>
    </row>
    <row r="95" spans="1:7" ht="18.75" customHeight="1">
      <c r="A95" s="1"/>
      <c r="B95" s="1"/>
      <c r="C95" s="1"/>
      <c r="D95" s="1"/>
      <c r="E95" s="1"/>
      <c r="F95" s="1"/>
      <c r="G95" s="1"/>
    </row>
    <row r="96" spans="1:7" ht="18.75" customHeight="1">
      <c r="A96" s="18"/>
      <c r="B96" s="18"/>
      <c r="C96" s="18"/>
      <c r="D96" s="18"/>
      <c r="E96" s="18"/>
      <c r="F96" s="18"/>
      <c r="G96" s="18"/>
    </row>
    <row r="97" spans="1:7" ht="18.75" customHeight="1">
      <c r="A97" s="1"/>
      <c r="B97" s="1"/>
      <c r="C97" s="1"/>
      <c r="D97" s="1"/>
      <c r="E97" s="1"/>
      <c r="F97" s="1"/>
      <c r="G97" s="1"/>
    </row>
    <row r="98" spans="1:7" ht="18.75" customHeight="1">
      <c r="A98" s="1"/>
      <c r="B98" s="1"/>
      <c r="C98" s="1"/>
      <c r="D98" s="1"/>
      <c r="E98" s="1"/>
      <c r="F98" s="1"/>
      <c r="G98" s="1"/>
    </row>
    <row r="99" spans="1:7" ht="18.75" customHeight="1">
      <c r="A99" s="1"/>
      <c r="B99" s="1"/>
      <c r="C99" s="1"/>
      <c r="D99" s="1"/>
      <c r="E99" s="1"/>
      <c r="F99" s="1"/>
      <c r="G99" s="1"/>
    </row>
    <row r="100" spans="1:7" ht="18.75" customHeight="1">
      <c r="A100" s="1"/>
      <c r="B100" s="1"/>
      <c r="C100" s="1"/>
      <c r="D100" s="1"/>
      <c r="E100" s="1"/>
      <c r="F100" s="1"/>
      <c r="G100" s="1"/>
    </row>
    <row r="101" spans="1:7" ht="18.75" customHeight="1">
      <c r="A101" s="1"/>
      <c r="B101" s="1"/>
      <c r="C101" s="1"/>
      <c r="D101" s="1"/>
      <c r="E101" s="1"/>
      <c r="F101" s="1"/>
      <c r="G101" s="1"/>
    </row>
    <row r="102" spans="1:7" ht="18.75" customHeight="1">
      <c r="A102" s="1"/>
      <c r="B102" s="1"/>
      <c r="C102" s="1"/>
      <c r="D102" s="1"/>
      <c r="E102" s="1"/>
      <c r="F102" s="1"/>
      <c r="G102" s="1"/>
    </row>
    <row r="103" spans="1:7" ht="18.75" customHeight="1">
      <c r="A103" s="1"/>
      <c r="B103" s="1"/>
      <c r="C103" s="1"/>
      <c r="D103" s="1"/>
      <c r="E103" s="1"/>
      <c r="F103" s="1"/>
      <c r="G103" s="1"/>
    </row>
    <row r="104" spans="1:7" ht="18.75" customHeight="1">
      <c r="A104" s="1"/>
      <c r="B104" s="1"/>
      <c r="C104" s="1"/>
      <c r="D104" s="1"/>
      <c r="E104" s="1"/>
      <c r="F104" s="1"/>
      <c r="G104" s="1"/>
    </row>
    <row r="105" spans="1:7" ht="18.75" customHeight="1">
      <c r="A105" s="1"/>
      <c r="B105" s="1"/>
      <c r="C105" s="1"/>
      <c r="D105" s="1"/>
      <c r="E105" s="1"/>
      <c r="F105" s="1"/>
      <c r="G105" s="1"/>
    </row>
    <row r="106" spans="1:7" ht="18.75" customHeight="1">
      <c r="A106" s="1"/>
      <c r="B106" s="1"/>
      <c r="C106" s="1"/>
      <c r="D106" s="1"/>
      <c r="E106" s="1"/>
      <c r="F106" s="1"/>
      <c r="G106" s="1"/>
    </row>
    <row r="107" spans="1:7" ht="18.75" customHeight="1">
      <c r="A107" s="1"/>
      <c r="B107" s="1"/>
      <c r="C107" s="1"/>
      <c r="D107" s="1"/>
      <c r="E107" s="1"/>
      <c r="F107" s="1"/>
      <c r="G107" s="1"/>
    </row>
    <row r="108" spans="1:7" ht="18.75" customHeight="1">
      <c r="A108" s="9"/>
      <c r="B108" s="9"/>
      <c r="C108" s="9"/>
      <c r="D108" s="9"/>
      <c r="E108" s="9"/>
      <c r="F108" s="9"/>
      <c r="G108" s="9"/>
    </row>
    <row r="109" spans="1:7" ht="18.75" customHeight="1">
      <c r="A109" s="1"/>
      <c r="B109" s="1"/>
      <c r="C109" s="1"/>
      <c r="D109" s="1"/>
      <c r="E109" s="1"/>
      <c r="F109" s="1"/>
      <c r="G109" s="1"/>
    </row>
    <row r="110" spans="1:7" ht="18.75" customHeight="1">
      <c r="A110" s="1"/>
      <c r="B110" s="1"/>
      <c r="C110" s="1"/>
      <c r="D110" s="1"/>
      <c r="E110" s="1"/>
      <c r="F110" s="1"/>
      <c r="G110" s="1"/>
    </row>
    <row r="111" spans="1:7" ht="18.75" customHeight="1">
      <c r="A111" s="1"/>
      <c r="B111" s="1"/>
      <c r="C111" s="1"/>
      <c r="D111" s="1"/>
      <c r="E111" s="1"/>
      <c r="F111" s="1"/>
      <c r="G111" s="1"/>
    </row>
    <row r="112" spans="1:7" ht="18.75" customHeight="1">
      <c r="A112" s="1"/>
      <c r="B112" s="1"/>
      <c r="C112" s="1"/>
      <c r="D112" s="1"/>
      <c r="E112" s="1"/>
      <c r="F112" s="1"/>
      <c r="G112" s="1"/>
    </row>
    <row r="113" spans="1:7" ht="18.75" customHeight="1">
      <c r="A113" s="1"/>
      <c r="B113" s="1"/>
      <c r="C113" s="1"/>
      <c r="D113" s="1"/>
      <c r="E113" s="1"/>
      <c r="F113" s="1"/>
      <c r="G113" s="1"/>
    </row>
    <row r="114" spans="1:7" ht="18.75" customHeight="1">
      <c r="A114" s="1"/>
      <c r="B114" s="1"/>
      <c r="C114" s="1"/>
      <c r="D114" s="1"/>
      <c r="E114" s="1"/>
      <c r="F114" s="1"/>
      <c r="G114" s="1"/>
    </row>
    <row r="115" spans="1:7" ht="18.75" customHeight="1">
      <c r="A115" s="1"/>
      <c r="B115" s="1"/>
      <c r="C115" s="1"/>
      <c r="D115" s="1"/>
      <c r="E115" s="1"/>
      <c r="F115" s="1"/>
      <c r="G115" s="1"/>
    </row>
    <row r="116" spans="1:7" ht="18.75" customHeight="1">
      <c r="A116" s="1"/>
      <c r="B116" s="1"/>
      <c r="C116" s="1"/>
      <c r="D116" s="1"/>
      <c r="E116" s="1"/>
      <c r="F116" s="1"/>
      <c r="G116" s="1"/>
    </row>
    <row r="117" spans="1:7" ht="18.75" customHeight="1">
      <c r="A117" s="1"/>
      <c r="B117" s="1"/>
      <c r="C117" s="1"/>
      <c r="D117" s="1"/>
      <c r="E117" s="1"/>
      <c r="F117" s="1"/>
      <c r="G117" s="1"/>
    </row>
    <row r="118" spans="1:7" ht="18.75" customHeight="1">
      <c r="A118" s="18"/>
      <c r="B118" s="18"/>
      <c r="C118" s="18"/>
      <c r="D118" s="18"/>
      <c r="E118" s="18"/>
      <c r="F118" s="18"/>
      <c r="G118" s="18"/>
    </row>
    <row r="119" spans="1:7" ht="18.75" customHeight="1">
      <c r="A119" s="1"/>
      <c r="B119" s="1"/>
      <c r="C119" s="1"/>
      <c r="D119" s="1"/>
      <c r="E119" s="1"/>
      <c r="F119" s="1"/>
      <c r="G119" s="1"/>
    </row>
    <row r="120" spans="1:7" ht="18.75" customHeight="1">
      <c r="A120" s="1"/>
      <c r="B120" s="1"/>
      <c r="C120" s="1"/>
      <c r="D120" s="1"/>
      <c r="E120" s="1"/>
      <c r="F120" s="1"/>
      <c r="G120" s="1"/>
    </row>
    <row r="121" spans="1:7" ht="18.75" customHeight="1">
      <c r="A121" s="1"/>
      <c r="B121" s="1"/>
      <c r="C121" s="1"/>
      <c r="D121" s="1"/>
      <c r="E121" s="1"/>
      <c r="F121" s="1"/>
      <c r="G121" s="1"/>
    </row>
    <row r="122" spans="1:7" ht="18.75" customHeight="1">
      <c r="A122" s="1"/>
      <c r="B122" s="1"/>
      <c r="C122" s="1"/>
      <c r="D122" s="1"/>
      <c r="E122" s="1"/>
      <c r="F122" s="1"/>
      <c r="G122" s="1"/>
    </row>
    <row r="123" spans="1:7" ht="18.75" customHeight="1">
      <c r="A123" s="1"/>
      <c r="B123" s="1"/>
      <c r="C123" s="1"/>
      <c r="D123" s="1"/>
      <c r="E123" s="1"/>
      <c r="F123" s="1"/>
      <c r="G123" s="1"/>
    </row>
    <row r="124" spans="1:7" ht="18.75" customHeight="1">
      <c r="A124" s="1"/>
      <c r="B124" s="1"/>
      <c r="C124" s="1"/>
      <c r="D124" s="1"/>
      <c r="E124" s="1"/>
      <c r="F124" s="1"/>
      <c r="G124" s="1"/>
    </row>
    <row r="125" spans="1:7" ht="18.75" customHeight="1">
      <c r="A125" s="1"/>
      <c r="B125" s="1"/>
      <c r="C125" s="1"/>
      <c r="D125" s="1"/>
      <c r="E125" s="1"/>
      <c r="F125" s="1"/>
      <c r="G125" s="1"/>
    </row>
    <row r="126" spans="1:7" ht="18.75" customHeight="1">
      <c r="A126" s="1"/>
      <c r="B126" s="1"/>
      <c r="C126" s="1"/>
      <c r="D126" s="1"/>
      <c r="E126" s="1"/>
      <c r="F126" s="1"/>
      <c r="G126" s="1"/>
    </row>
    <row r="127" spans="1:7" ht="18.75" customHeight="1">
      <c r="A127" s="1"/>
      <c r="B127" s="1"/>
      <c r="C127" s="1"/>
      <c r="D127" s="1"/>
      <c r="E127" s="1"/>
      <c r="F127" s="1"/>
      <c r="G127" s="1"/>
    </row>
    <row r="128" spans="1:7" ht="18.75" customHeight="1">
      <c r="A128" s="18"/>
      <c r="B128" s="18"/>
      <c r="C128" s="18"/>
      <c r="D128" s="18"/>
      <c r="E128" s="18"/>
      <c r="F128" s="18"/>
      <c r="G128" s="18"/>
    </row>
    <row r="129" spans="1:7" ht="18.75" customHeight="1">
      <c r="A129" s="1"/>
      <c r="B129" s="1"/>
      <c r="C129" s="1"/>
      <c r="D129" s="1"/>
      <c r="E129" s="1"/>
      <c r="F129" s="1"/>
      <c r="G129" s="1"/>
    </row>
    <row r="130" spans="1:7" ht="18.75" customHeight="1">
      <c r="A130" s="1"/>
      <c r="B130" s="1"/>
      <c r="C130" s="1"/>
      <c r="D130" s="1"/>
      <c r="E130" s="1"/>
      <c r="F130" s="1"/>
      <c r="G130" s="1"/>
    </row>
    <row r="131" spans="1:7" ht="18.75" customHeight="1">
      <c r="A131" s="1"/>
      <c r="B131" s="1"/>
      <c r="C131" s="1"/>
      <c r="D131" s="1"/>
      <c r="E131" s="1"/>
      <c r="F131" s="1"/>
      <c r="G131" s="1"/>
    </row>
    <row r="132" spans="1:7" ht="18.75" customHeight="1">
      <c r="A132" s="1"/>
      <c r="B132" s="1"/>
      <c r="C132" s="1"/>
      <c r="D132" s="1"/>
      <c r="E132" s="1"/>
      <c r="F132" s="1"/>
      <c r="G132" s="1"/>
    </row>
    <row r="133" spans="1:7" ht="18.75" customHeight="1">
      <c r="A133" s="1"/>
      <c r="B133" s="1"/>
      <c r="C133" s="1"/>
      <c r="D133" s="1"/>
      <c r="E133" s="1"/>
      <c r="F133" s="1"/>
      <c r="G133" s="1"/>
    </row>
    <row r="134" spans="1:7" ht="18.75" customHeight="1">
      <c r="A134" s="1"/>
      <c r="B134" s="1"/>
      <c r="C134" s="1"/>
      <c r="D134" s="1"/>
      <c r="E134" s="1"/>
      <c r="F134" s="1"/>
      <c r="G134" s="1"/>
    </row>
    <row r="135" spans="1:7" ht="18.75" customHeight="1">
      <c r="A135" s="1"/>
      <c r="B135" s="1"/>
      <c r="C135" s="1"/>
      <c r="D135" s="1"/>
      <c r="E135" s="1"/>
      <c r="F135" s="1"/>
      <c r="G135" s="1"/>
    </row>
    <row r="136" spans="1:7" ht="18.75" customHeight="1">
      <c r="A136" s="1"/>
      <c r="B136" s="1"/>
      <c r="C136" s="1"/>
      <c r="D136" s="1"/>
      <c r="E136" s="1"/>
      <c r="F136" s="1"/>
      <c r="G136" s="1"/>
    </row>
    <row r="137" spans="1:7" ht="18.75" customHeight="1">
      <c r="A137" s="1"/>
      <c r="B137" s="1"/>
      <c r="C137" s="1"/>
      <c r="D137" s="1"/>
      <c r="E137" s="1"/>
      <c r="F137" s="1"/>
      <c r="G137" s="1"/>
    </row>
    <row r="138" spans="1:7" ht="18.75" customHeight="1">
      <c r="A138" s="2"/>
      <c r="B138" s="2"/>
      <c r="C138" s="1"/>
      <c r="D138" s="1"/>
      <c r="E138" s="1"/>
      <c r="F138" s="1"/>
      <c r="G138" s="1"/>
    </row>
    <row r="139" spans="1:7" ht="18.75" customHeight="1">
      <c r="A139" s="2"/>
      <c r="B139" s="2"/>
      <c r="C139" s="1"/>
      <c r="D139" s="1"/>
      <c r="E139" s="1"/>
      <c r="F139" s="1"/>
      <c r="G139" s="1"/>
    </row>
    <row r="140" spans="1:7" ht="18.75" customHeight="1">
      <c r="A140" s="2"/>
      <c r="B140" s="2"/>
      <c r="C140" s="1"/>
      <c r="D140" s="1"/>
      <c r="E140" s="1"/>
      <c r="F140" s="1"/>
      <c r="G140" s="1"/>
    </row>
    <row r="141" spans="1:7" ht="18.75" customHeight="1">
      <c r="A141" s="2"/>
      <c r="B141" s="2"/>
      <c r="C141" s="1"/>
      <c r="D141" s="1"/>
      <c r="E141" s="1"/>
      <c r="F141" s="1"/>
      <c r="G141" s="1"/>
    </row>
    <row r="142" spans="1:7" ht="18.75" customHeight="1">
      <c r="A142" s="2"/>
      <c r="B142" s="2"/>
      <c r="C142" s="1"/>
      <c r="D142" s="1"/>
      <c r="E142" s="1"/>
      <c r="F142" s="1"/>
      <c r="G142" s="1"/>
    </row>
    <row r="143" spans="1:7" ht="18.75" customHeight="1">
      <c r="A143" s="2"/>
      <c r="B143" s="2"/>
      <c r="C143" s="1"/>
      <c r="D143" s="1"/>
      <c r="E143" s="1"/>
      <c r="F143" s="1"/>
      <c r="G143" s="1"/>
    </row>
    <row r="144" spans="1:7" ht="18.75" customHeight="1">
      <c r="A144" s="2"/>
      <c r="B144" s="2"/>
      <c r="C144" s="1"/>
      <c r="D144" s="1"/>
      <c r="E144" s="1"/>
      <c r="F144" s="1"/>
      <c r="G144" s="1"/>
    </row>
    <row r="145" spans="1:7" ht="18.75" customHeight="1">
      <c r="A145" s="2"/>
      <c r="B145" s="2"/>
      <c r="C145" s="1"/>
      <c r="D145" s="1"/>
      <c r="E145" s="1"/>
      <c r="F145" s="1"/>
      <c r="G145" s="1"/>
    </row>
    <row r="146" spans="1:7" ht="18.75" customHeight="1">
      <c r="A146" s="2"/>
      <c r="B146" s="2"/>
      <c r="C146" s="1"/>
      <c r="D146" s="1"/>
      <c r="E146" s="1"/>
      <c r="F146" s="1"/>
      <c r="G146" s="1"/>
    </row>
    <row r="147" spans="1:7" ht="18.75" customHeight="1">
      <c r="A147" s="2"/>
      <c r="B147" s="2"/>
      <c r="C147" s="1"/>
      <c r="D147" s="1"/>
      <c r="E147" s="1"/>
      <c r="F147" s="1"/>
      <c r="G147" s="1"/>
    </row>
    <row r="148" spans="1:7" ht="18.75" customHeight="1">
      <c r="A148" s="2"/>
      <c r="B148" s="2"/>
      <c r="C148" s="1"/>
      <c r="D148" s="1"/>
      <c r="E148" s="1"/>
      <c r="F148" s="1"/>
      <c r="G148" s="1"/>
    </row>
    <row r="149" spans="1:7" ht="18.75" customHeight="1">
      <c r="A149" s="2"/>
      <c r="B149" s="2"/>
      <c r="C149" s="1"/>
      <c r="D149" s="1"/>
      <c r="E149" s="1"/>
      <c r="F149" s="1"/>
      <c r="G149" s="1"/>
    </row>
    <row r="150" spans="1:7" ht="18.75" customHeight="1">
      <c r="A150" s="2"/>
      <c r="B150" s="2"/>
      <c r="C150" s="1"/>
      <c r="D150" s="1"/>
      <c r="E150" s="1"/>
      <c r="F150" s="1"/>
      <c r="G150" s="1"/>
    </row>
    <row r="151" spans="1:7" ht="18.75" customHeight="1">
      <c r="A151" s="2"/>
      <c r="B151" s="2"/>
      <c r="C151" s="1"/>
      <c r="D151" s="1"/>
      <c r="E151" s="1"/>
      <c r="F151" s="1"/>
      <c r="G151" s="1"/>
    </row>
    <row r="152" spans="1:7" ht="18.75" customHeight="1">
      <c r="A152" s="2"/>
      <c r="B152" s="2"/>
      <c r="C152" s="1"/>
      <c r="D152" s="1"/>
      <c r="E152" s="1"/>
      <c r="F152" s="1"/>
      <c r="G152" s="1"/>
    </row>
    <row r="153" spans="1:7" ht="18.75" customHeight="1">
      <c r="A153" s="2"/>
      <c r="B153" s="2"/>
      <c r="C153" s="1"/>
      <c r="D153" s="1"/>
      <c r="E153" s="1"/>
      <c r="F153" s="1"/>
      <c r="G153" s="1"/>
    </row>
    <row r="154" spans="1:7" ht="18.75" customHeight="1">
      <c r="A154" s="2"/>
      <c r="B154" s="2"/>
      <c r="C154" s="1"/>
      <c r="D154" s="1"/>
      <c r="E154" s="1"/>
      <c r="F154" s="1"/>
      <c r="G154" s="1"/>
    </row>
    <row r="155" spans="1:7" ht="18.75" customHeight="1">
      <c r="A155" s="2"/>
      <c r="B155" s="2"/>
      <c r="C155" s="1"/>
      <c r="D155" s="1"/>
      <c r="E155" s="1"/>
      <c r="F155" s="1"/>
      <c r="G155" s="1"/>
    </row>
    <row r="156" spans="1:7" ht="18.75" customHeight="1">
      <c r="A156" s="2"/>
      <c r="B156" s="2"/>
      <c r="C156" s="1"/>
      <c r="D156" s="1"/>
      <c r="E156" s="1"/>
      <c r="F156" s="1"/>
      <c r="G156" s="1"/>
    </row>
    <row r="157" spans="1:7" ht="18.75" customHeight="1">
      <c r="A157" s="2"/>
      <c r="B157" s="2"/>
      <c r="C157" s="1"/>
      <c r="D157" s="1"/>
      <c r="E157" s="1"/>
      <c r="F157" s="1"/>
      <c r="G157" s="1"/>
    </row>
    <row r="158" spans="1:7" ht="18.75" customHeight="1">
      <c r="A158" s="2"/>
      <c r="B158" s="2"/>
      <c r="C158" s="1"/>
      <c r="D158" s="1"/>
      <c r="E158" s="1"/>
      <c r="F158" s="1"/>
      <c r="G158" s="1"/>
    </row>
    <row r="159" spans="1:7" ht="18.75" customHeight="1">
      <c r="A159" s="2"/>
      <c r="B159" s="2"/>
      <c r="C159" s="1"/>
      <c r="D159" s="1"/>
      <c r="E159" s="1"/>
      <c r="F159" s="1"/>
      <c r="G159" s="1"/>
    </row>
    <row r="160" spans="1:7" ht="18.75" customHeight="1">
      <c r="A160" s="2"/>
      <c r="B160" s="2"/>
      <c r="C160" s="1"/>
      <c r="D160" s="1"/>
      <c r="E160" s="1"/>
      <c r="F160" s="1"/>
      <c r="G160" s="1"/>
    </row>
    <row r="161" spans="1:7" ht="18.75" customHeight="1">
      <c r="A161" s="2"/>
      <c r="B161" s="2"/>
      <c r="C161" s="1"/>
      <c r="D161" s="1"/>
      <c r="E161" s="1"/>
      <c r="F161" s="1"/>
      <c r="G161" s="1"/>
    </row>
    <row r="162" spans="1:7" ht="18.75" customHeight="1">
      <c r="A162" s="2"/>
      <c r="B162" s="2"/>
      <c r="C162" s="1"/>
      <c r="D162" s="1"/>
      <c r="E162" s="1"/>
      <c r="F162" s="1"/>
      <c r="G162" s="1"/>
    </row>
    <row r="163" spans="1:7" ht="18.75" customHeight="1">
      <c r="A163" s="2"/>
      <c r="B163" s="2"/>
      <c r="C163" s="1"/>
      <c r="D163" s="1"/>
      <c r="E163" s="1"/>
      <c r="F163" s="1"/>
      <c r="G163" s="1"/>
    </row>
    <row r="164" spans="1:7" ht="18.75" customHeight="1">
      <c r="A164" s="2"/>
      <c r="B164" s="2"/>
      <c r="C164" s="1"/>
      <c r="D164" s="1"/>
      <c r="E164" s="1"/>
      <c r="F164" s="1"/>
      <c r="G164" s="1"/>
    </row>
    <row r="165" spans="1:7" ht="18.75" customHeight="1">
      <c r="A165" s="2"/>
      <c r="B165" s="2"/>
      <c r="C165" s="1"/>
      <c r="D165" s="1"/>
      <c r="E165" s="1"/>
      <c r="F165" s="1"/>
      <c r="G165" s="1"/>
    </row>
    <row r="166" spans="1:7" ht="18.75" customHeight="1">
      <c r="A166" s="2"/>
      <c r="B166" s="2"/>
      <c r="C166" s="1"/>
      <c r="D166" s="1"/>
      <c r="E166" s="1"/>
      <c r="F166" s="1"/>
      <c r="G166" s="1"/>
    </row>
    <row r="167" spans="1:7" ht="18.75" customHeight="1">
      <c r="A167" s="2"/>
      <c r="B167" s="2"/>
      <c r="C167" s="1"/>
      <c r="D167" s="1"/>
      <c r="E167" s="1"/>
      <c r="F167" s="1"/>
      <c r="G167" s="1"/>
    </row>
    <row r="168" spans="1:7" ht="18.75" customHeight="1">
      <c r="A168" s="2"/>
      <c r="B168" s="2"/>
      <c r="C168" s="1"/>
      <c r="D168" s="1"/>
      <c r="E168" s="1"/>
      <c r="F168" s="1"/>
      <c r="G168" s="1"/>
    </row>
    <row r="169" spans="1:7" ht="18.75" customHeight="1">
      <c r="A169" s="2"/>
      <c r="B169" s="2"/>
      <c r="C169" s="1"/>
      <c r="D169" s="1"/>
      <c r="E169" s="1"/>
      <c r="F169" s="1"/>
      <c r="G169" s="1"/>
    </row>
    <row r="170" spans="1:7" ht="18.75" customHeight="1">
      <c r="A170" s="2"/>
      <c r="B170" s="2"/>
      <c r="C170" s="1"/>
      <c r="D170" s="1"/>
      <c r="E170" s="1"/>
      <c r="F170" s="1"/>
      <c r="G170" s="1"/>
    </row>
    <row r="171" spans="1:7" ht="18.75" customHeight="1">
      <c r="A171" s="2"/>
      <c r="B171" s="2"/>
      <c r="C171" s="1"/>
      <c r="D171" s="1"/>
      <c r="E171" s="1"/>
      <c r="F171" s="1"/>
      <c r="G171" s="1"/>
    </row>
    <row r="172" spans="1:7" ht="18.75" customHeight="1">
      <c r="A172" s="2"/>
      <c r="B172" s="2"/>
      <c r="C172" s="1"/>
      <c r="D172" s="1"/>
      <c r="E172" s="1"/>
      <c r="F172" s="1"/>
      <c r="G172" s="1"/>
    </row>
    <row r="173" spans="1:7" ht="18.75" customHeight="1">
      <c r="A173" s="2"/>
      <c r="B173" s="2"/>
      <c r="C173" s="1"/>
      <c r="D173" s="1"/>
      <c r="E173" s="1"/>
      <c r="F173" s="1"/>
      <c r="G173" s="1"/>
    </row>
    <row r="174" spans="1:7" ht="18.75" customHeight="1">
      <c r="A174" s="2"/>
      <c r="B174" s="2"/>
      <c r="C174" s="1"/>
      <c r="D174" s="1"/>
      <c r="E174" s="1"/>
      <c r="F174" s="1"/>
      <c r="G174" s="1"/>
    </row>
    <row r="175" spans="1:7" ht="18.75" customHeight="1">
      <c r="A175" s="2"/>
      <c r="B175" s="2"/>
      <c r="C175" s="1"/>
      <c r="D175" s="1"/>
      <c r="E175" s="1"/>
      <c r="F175" s="1"/>
      <c r="G175" s="1"/>
    </row>
    <row r="176" spans="1:7" ht="18.75" customHeight="1">
      <c r="A176" s="2"/>
      <c r="B176" s="2"/>
      <c r="C176" s="1"/>
      <c r="D176" s="1"/>
      <c r="E176" s="1"/>
      <c r="F176" s="1"/>
      <c r="G176" s="1"/>
    </row>
    <row r="177" spans="1:7" ht="18.75" customHeight="1">
      <c r="A177" s="2"/>
      <c r="B177" s="2"/>
      <c r="C177" s="1"/>
      <c r="D177" s="1"/>
      <c r="E177" s="1"/>
      <c r="F177" s="1"/>
      <c r="G177" s="1"/>
    </row>
    <row r="178" spans="1:7" ht="18.75" customHeight="1">
      <c r="A178" s="2"/>
      <c r="B178" s="2"/>
      <c r="C178" s="1"/>
      <c r="D178" s="1"/>
      <c r="E178" s="1"/>
      <c r="F178" s="1"/>
      <c r="G178" s="1"/>
    </row>
    <row r="179" spans="1:7" ht="18.75" customHeight="1">
      <c r="A179" s="2"/>
      <c r="B179" s="2"/>
      <c r="C179" s="1"/>
      <c r="D179" s="1"/>
      <c r="E179" s="1"/>
      <c r="F179" s="1"/>
      <c r="G179" s="1"/>
    </row>
    <row r="180" spans="1:7" ht="18.75" customHeight="1">
      <c r="A180" s="2"/>
      <c r="B180" s="2"/>
      <c r="C180" s="1"/>
      <c r="D180" s="1"/>
      <c r="E180" s="1"/>
      <c r="F180" s="1"/>
      <c r="G180" s="1"/>
    </row>
    <row r="181" spans="1:7" ht="18.75" customHeight="1">
      <c r="A181" s="2"/>
      <c r="B181" s="2"/>
      <c r="C181" s="1"/>
      <c r="D181" s="1"/>
      <c r="E181" s="1"/>
      <c r="F181" s="1"/>
      <c r="G181" s="1"/>
    </row>
    <row r="182" spans="1:7" ht="18.75" customHeight="1">
      <c r="A182" s="2"/>
      <c r="B182" s="2"/>
      <c r="C182" s="1"/>
      <c r="D182" s="1"/>
      <c r="E182" s="1"/>
      <c r="F182" s="1"/>
      <c r="G182" s="1"/>
    </row>
    <row r="183" spans="1:7" ht="18.75" customHeight="1">
      <c r="A183" s="2"/>
      <c r="B183" s="2"/>
      <c r="C183" s="1"/>
      <c r="D183" s="1"/>
      <c r="E183" s="1"/>
      <c r="F183" s="1"/>
      <c r="G183" s="1"/>
    </row>
    <row r="184" spans="1:7" ht="18.75" customHeight="1">
      <c r="A184" s="2"/>
      <c r="B184" s="2"/>
      <c r="C184" s="1"/>
      <c r="D184" s="1"/>
      <c r="E184" s="1"/>
      <c r="F184" s="1"/>
      <c r="G184" s="1"/>
    </row>
    <row r="185" spans="1:7" ht="18.75" customHeight="1">
      <c r="A185" s="2"/>
      <c r="B185" s="2"/>
      <c r="C185" s="1"/>
      <c r="D185" s="1"/>
      <c r="E185" s="1"/>
      <c r="F185" s="1"/>
      <c r="G185" s="1"/>
    </row>
    <row r="186" spans="1:7" ht="18.75" customHeight="1">
      <c r="A186" s="2"/>
      <c r="B186" s="2"/>
      <c r="C186" s="1"/>
      <c r="D186" s="1"/>
      <c r="E186" s="1"/>
      <c r="F186" s="1"/>
      <c r="G186" s="1"/>
    </row>
    <row r="187" spans="1:7" ht="18.75" customHeight="1">
      <c r="A187" s="2"/>
      <c r="B187" s="2"/>
      <c r="C187" s="1"/>
      <c r="D187" s="1"/>
      <c r="E187" s="1"/>
      <c r="F187" s="1"/>
      <c r="G187" s="1"/>
    </row>
    <row r="188" spans="1:7" ht="18.75" customHeight="1">
      <c r="A188" s="2"/>
      <c r="B188" s="2"/>
      <c r="C188" s="1"/>
      <c r="D188" s="1"/>
      <c r="E188" s="1"/>
      <c r="F188" s="1"/>
      <c r="G188" s="1"/>
    </row>
    <row r="189" spans="1:7" ht="18.75" customHeight="1">
      <c r="A189" s="2"/>
      <c r="B189" s="2"/>
      <c r="C189" s="1"/>
      <c r="D189" s="1"/>
      <c r="E189" s="1"/>
      <c r="F189" s="1"/>
      <c r="G189" s="1"/>
    </row>
    <row r="190" spans="1:7" ht="18.75" customHeight="1">
      <c r="A190" s="2"/>
      <c r="B190" s="2"/>
      <c r="C190" s="1"/>
      <c r="D190" s="1"/>
      <c r="E190" s="1"/>
      <c r="F190" s="1"/>
      <c r="G190" s="1"/>
    </row>
    <row r="191" spans="1:7" ht="18.75" customHeight="1">
      <c r="A191" s="2"/>
      <c r="B191" s="2"/>
      <c r="C191" s="1"/>
      <c r="D191" s="1"/>
      <c r="E191" s="1"/>
      <c r="F191" s="1"/>
      <c r="G191" s="1"/>
    </row>
    <row r="192" spans="1:7" ht="18.75" customHeight="1">
      <c r="A192" s="2"/>
      <c r="B192" s="2"/>
      <c r="C192" s="1"/>
      <c r="D192" s="1"/>
      <c r="E192" s="1"/>
      <c r="F192" s="1"/>
      <c r="G192" s="1"/>
    </row>
    <row r="193" spans="1:7" ht="18.75" customHeight="1">
      <c r="A193" s="2"/>
      <c r="B193" s="2"/>
      <c r="C193" s="1"/>
      <c r="D193" s="1"/>
      <c r="E193" s="1"/>
      <c r="F193" s="1"/>
      <c r="G193" s="1"/>
    </row>
    <row r="194" spans="1:7" ht="18.75" customHeight="1">
      <c r="A194" s="2"/>
      <c r="B194" s="2"/>
      <c r="C194" s="1"/>
      <c r="D194" s="1"/>
      <c r="E194" s="1"/>
      <c r="F194" s="1"/>
      <c r="G194" s="1"/>
    </row>
    <row r="195" spans="1:7" ht="18.75" customHeight="1">
      <c r="A195" s="2"/>
      <c r="B195" s="2"/>
      <c r="C195" s="1"/>
      <c r="D195" s="1"/>
      <c r="E195" s="1"/>
      <c r="F195" s="1"/>
      <c r="G195" s="1"/>
    </row>
    <row r="196" spans="1:7" ht="18.75" customHeight="1">
      <c r="A196" s="2"/>
      <c r="B196" s="2"/>
      <c r="C196" s="1"/>
      <c r="D196" s="1"/>
      <c r="E196" s="1"/>
      <c r="F196" s="1"/>
      <c r="G196" s="1"/>
    </row>
    <row r="197" spans="1:7" ht="18.75" customHeight="1">
      <c r="A197" s="2"/>
      <c r="B197" s="2"/>
      <c r="C197" s="1"/>
      <c r="D197" s="1"/>
      <c r="E197" s="1"/>
      <c r="F197" s="1"/>
      <c r="G197" s="1"/>
    </row>
    <row r="198" spans="1:7" ht="18.75" customHeight="1">
      <c r="A198" s="2"/>
      <c r="B198" s="2"/>
      <c r="C198" s="1"/>
      <c r="D198" s="1"/>
      <c r="E198" s="1"/>
      <c r="F198" s="1"/>
      <c r="G198" s="1"/>
    </row>
    <row r="199" spans="1:7" ht="18.75" customHeight="1">
      <c r="A199" s="2"/>
      <c r="B199" s="2"/>
      <c r="C199" s="1"/>
      <c r="D199" s="1"/>
      <c r="E199" s="1"/>
      <c r="F199" s="1"/>
      <c r="G199" s="1"/>
    </row>
    <row r="200" spans="1:7" ht="18.75" customHeight="1">
      <c r="A200" s="2"/>
      <c r="B200" s="2"/>
      <c r="C200" s="1"/>
      <c r="D200" s="1"/>
      <c r="E200" s="1"/>
      <c r="F200" s="1"/>
      <c r="G200" s="1"/>
    </row>
    <row r="201" spans="1:7" ht="18.75" customHeight="1">
      <c r="A201" s="2"/>
      <c r="B201" s="2"/>
      <c r="C201" s="1"/>
      <c r="D201" s="1"/>
      <c r="E201" s="1"/>
      <c r="F201" s="1"/>
      <c r="G201" s="1"/>
    </row>
    <row r="202" spans="1:7" ht="18.75" customHeight="1">
      <c r="A202" s="2"/>
      <c r="B202" s="2"/>
      <c r="C202" s="1"/>
      <c r="D202" s="1"/>
      <c r="E202" s="1"/>
      <c r="F202" s="1"/>
      <c r="G202" s="1"/>
    </row>
    <row r="203" spans="1:7" ht="18.75" customHeight="1">
      <c r="A203" s="2"/>
      <c r="B203" s="2"/>
      <c r="C203" s="1"/>
      <c r="D203" s="1"/>
      <c r="E203" s="1"/>
      <c r="F203" s="1"/>
      <c r="G203" s="1"/>
    </row>
    <row r="204" spans="1:7" ht="18.75" customHeight="1">
      <c r="A204" s="2"/>
      <c r="B204" s="2"/>
      <c r="C204" s="1"/>
      <c r="D204" s="1"/>
      <c r="E204" s="1"/>
      <c r="F204" s="1"/>
      <c r="G204" s="1"/>
    </row>
    <row r="205" spans="1:7" ht="18.75" customHeight="1">
      <c r="A205" s="2"/>
      <c r="B205" s="2"/>
      <c r="C205" s="1"/>
      <c r="D205" s="1"/>
      <c r="E205" s="1"/>
      <c r="F205" s="1"/>
      <c r="G205" s="1"/>
    </row>
    <row r="206" spans="1:7" ht="18.75" customHeight="1">
      <c r="A206" s="2"/>
      <c r="B206" s="2"/>
      <c r="C206" s="1"/>
      <c r="D206" s="1"/>
      <c r="E206" s="1"/>
      <c r="F206" s="1"/>
      <c r="G206" s="1"/>
    </row>
    <row r="207" spans="1:7" ht="18.75" customHeight="1">
      <c r="A207" s="2"/>
      <c r="B207" s="2"/>
      <c r="C207" s="1"/>
      <c r="D207" s="1"/>
      <c r="E207" s="1"/>
      <c r="F207" s="1"/>
      <c r="G207" s="1"/>
    </row>
    <row r="208" spans="1:7" ht="18.75" customHeight="1">
      <c r="A208" s="2"/>
      <c r="B208" s="2"/>
      <c r="C208" s="1"/>
      <c r="D208" s="1"/>
      <c r="E208" s="1"/>
      <c r="F208" s="1"/>
      <c r="G208" s="1"/>
    </row>
    <row r="209" spans="1:7" ht="18.75" customHeight="1">
      <c r="A209" s="2"/>
      <c r="B209" s="2"/>
      <c r="C209" s="1"/>
      <c r="D209" s="1"/>
      <c r="E209" s="1"/>
      <c r="F209" s="1"/>
      <c r="G209" s="1"/>
    </row>
    <row r="210" spans="1:7" ht="18.75" customHeight="1">
      <c r="A210" s="2"/>
      <c r="B210" s="2"/>
      <c r="C210" s="1"/>
      <c r="D210" s="1"/>
      <c r="E210" s="1"/>
      <c r="F210" s="1"/>
      <c r="G210" s="1"/>
    </row>
    <row r="211" spans="1:7" ht="18.75" customHeight="1">
      <c r="A211" s="2"/>
      <c r="B211" s="2"/>
      <c r="C211" s="1"/>
      <c r="D211" s="1"/>
      <c r="E211" s="1"/>
      <c r="F211" s="1"/>
      <c r="G211" s="1"/>
    </row>
    <row r="212" spans="1:7" ht="18.75" customHeight="1">
      <c r="A212" s="2"/>
      <c r="B212" s="2"/>
      <c r="C212" s="1"/>
      <c r="D212" s="1"/>
      <c r="E212" s="1"/>
      <c r="F212" s="1"/>
      <c r="G212" s="1"/>
    </row>
    <row r="213" spans="1:7" ht="18.75" customHeight="1">
      <c r="A213" s="2"/>
      <c r="B213" s="2"/>
      <c r="C213" s="1"/>
      <c r="D213" s="1"/>
      <c r="E213" s="1"/>
      <c r="F213" s="1"/>
      <c r="G213" s="1"/>
    </row>
    <row r="214" spans="1:7" ht="18.75" customHeight="1">
      <c r="A214" s="2"/>
      <c r="B214" s="2"/>
      <c r="C214" s="1"/>
      <c r="D214" s="1"/>
      <c r="E214" s="1"/>
      <c r="F214" s="1"/>
      <c r="G214" s="1"/>
    </row>
    <row r="215" spans="1:7" ht="18.75" customHeight="1">
      <c r="A215" s="2"/>
      <c r="B215" s="2"/>
      <c r="C215" s="1"/>
      <c r="D215" s="1"/>
      <c r="E215" s="1"/>
      <c r="F215" s="1"/>
      <c r="G215" s="1"/>
    </row>
    <row r="216" spans="1:7" ht="18.75" customHeight="1">
      <c r="A216" s="2"/>
      <c r="B216" s="2"/>
      <c r="C216" s="1"/>
      <c r="D216" s="1"/>
      <c r="E216" s="1"/>
      <c r="F216" s="1"/>
      <c r="G216" s="1"/>
    </row>
    <row r="217" spans="1:7" ht="18.75" customHeight="1">
      <c r="A217" s="2"/>
      <c r="B217" s="2"/>
      <c r="C217" s="1"/>
      <c r="D217" s="1"/>
      <c r="E217" s="1"/>
      <c r="F217" s="1"/>
      <c r="G217" s="1"/>
    </row>
    <row r="218" spans="1:7" ht="18.75" customHeight="1">
      <c r="A218" s="2"/>
      <c r="B218" s="2"/>
      <c r="C218" s="1"/>
      <c r="D218" s="1"/>
      <c r="E218" s="1"/>
      <c r="F218" s="1"/>
      <c r="G218" s="1"/>
    </row>
    <row r="219" spans="1:7" ht="18.75" customHeight="1">
      <c r="A219" s="2"/>
      <c r="B219" s="2"/>
      <c r="C219" s="1"/>
      <c r="D219" s="1"/>
      <c r="E219" s="1"/>
      <c r="F219" s="1"/>
      <c r="G219" s="1"/>
    </row>
    <row r="220" spans="1:7" ht="18.75" customHeight="1">
      <c r="A220" s="2"/>
      <c r="B220" s="2"/>
      <c r="C220" s="1"/>
      <c r="D220" s="1"/>
      <c r="E220" s="1"/>
      <c r="F220" s="1"/>
      <c r="G220" s="1"/>
    </row>
    <row r="221" spans="1:7" ht="18.75" customHeight="1">
      <c r="A221" s="2"/>
      <c r="B221" s="2"/>
      <c r="C221" s="1"/>
      <c r="D221" s="1"/>
      <c r="E221" s="1"/>
      <c r="F221" s="1"/>
      <c r="G221" s="1"/>
    </row>
    <row r="222" spans="1:7" ht="18.75" customHeight="1">
      <c r="A222" s="2"/>
      <c r="B222" s="2"/>
      <c r="C222" s="1"/>
      <c r="D222" s="1"/>
      <c r="E222" s="1"/>
      <c r="F222" s="1"/>
      <c r="G222" s="1"/>
    </row>
    <row r="223" spans="1:7" ht="18.75" customHeight="1">
      <c r="A223" s="2"/>
      <c r="B223" s="2"/>
      <c r="C223" s="1"/>
      <c r="D223" s="1"/>
      <c r="E223" s="1"/>
      <c r="F223" s="1"/>
      <c r="G223" s="1"/>
    </row>
    <row r="224" spans="1:7" ht="18.75" customHeight="1">
      <c r="A224" s="2"/>
      <c r="B224" s="2"/>
      <c r="C224" s="1"/>
      <c r="D224" s="1"/>
      <c r="E224" s="1"/>
      <c r="F224" s="1"/>
      <c r="G224" s="1"/>
    </row>
    <row r="225" spans="1:7" ht="18.75" customHeight="1">
      <c r="A225" s="2"/>
      <c r="B225" s="2"/>
      <c r="C225" s="1"/>
      <c r="D225" s="1"/>
      <c r="E225" s="1"/>
      <c r="F225" s="1"/>
      <c r="G225" s="1"/>
    </row>
    <row r="226" spans="1:7" ht="18.75" customHeight="1">
      <c r="A226" s="2"/>
      <c r="B226" s="2"/>
      <c r="C226" s="1"/>
      <c r="D226" s="1"/>
      <c r="E226" s="1"/>
      <c r="F226" s="1"/>
      <c r="G226" s="1"/>
    </row>
    <row r="227" spans="1:7" ht="18.75" customHeight="1">
      <c r="A227" s="2"/>
      <c r="B227" s="2"/>
      <c r="C227" s="1"/>
      <c r="D227" s="1"/>
      <c r="E227" s="1"/>
      <c r="F227" s="1"/>
      <c r="G227" s="1"/>
    </row>
    <row r="228" spans="1:7" ht="18.75" customHeight="1">
      <c r="A228" s="2"/>
      <c r="B228" s="2"/>
      <c r="C228" s="1"/>
      <c r="D228" s="1"/>
      <c r="E228" s="1"/>
      <c r="F228" s="1"/>
      <c r="G228" s="1"/>
    </row>
    <row r="229" spans="1:7" ht="18.75" customHeight="1">
      <c r="A229" s="2"/>
      <c r="B229" s="2"/>
      <c r="C229" s="1"/>
      <c r="D229" s="1"/>
      <c r="E229" s="1"/>
      <c r="F229" s="1"/>
      <c r="G229" s="1"/>
    </row>
    <row r="230" spans="1:7" ht="18.75" customHeight="1">
      <c r="A230" s="2"/>
      <c r="B230" s="2"/>
      <c r="C230" s="1"/>
      <c r="D230" s="1"/>
      <c r="E230" s="1"/>
      <c r="F230" s="1"/>
      <c r="G230" s="1"/>
    </row>
    <row r="231" spans="1:7" ht="18.75" customHeight="1">
      <c r="A231" s="2"/>
      <c r="B231" s="2"/>
      <c r="C231" s="1"/>
      <c r="D231" s="1"/>
      <c r="E231" s="1"/>
      <c r="F231" s="1"/>
      <c r="G231" s="1"/>
    </row>
    <row r="232" spans="1:7" ht="18.75" customHeight="1">
      <c r="A232" s="2"/>
      <c r="B232" s="2"/>
      <c r="C232" s="1"/>
      <c r="D232" s="1"/>
      <c r="E232" s="1"/>
      <c r="F232" s="1"/>
      <c r="G232" s="1"/>
    </row>
    <row r="233" spans="1:7" ht="18.75" customHeight="1">
      <c r="A233" s="2"/>
      <c r="B233" s="2"/>
      <c r="C233" s="1"/>
      <c r="D233" s="1"/>
      <c r="E233" s="1"/>
      <c r="F233" s="1"/>
      <c r="G233" s="1"/>
    </row>
    <row r="234" spans="1:7" ht="18.75" customHeight="1">
      <c r="A234" s="2"/>
      <c r="B234" s="2"/>
      <c r="C234" s="1"/>
      <c r="D234" s="1"/>
      <c r="E234" s="1"/>
      <c r="F234" s="1"/>
      <c r="G234" s="1"/>
    </row>
  </sheetData>
  <mergeCells count="1">
    <mergeCell ref="A1:C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5"/>
  <sheetViews>
    <sheetView workbookViewId="0">
      <pane ySplit="2" topLeftCell="A3" activePane="bottomLeft" state="frozen"/>
      <selection pane="bottomLeft" activeCell="N104" sqref="N104"/>
    </sheetView>
  </sheetViews>
  <sheetFormatPr defaultColWidth="11.25" defaultRowHeight="15" customHeight="1"/>
  <cols>
    <col min="1" max="1" width="6.125" customWidth="1"/>
    <col min="2" max="2" width="7.75" customWidth="1"/>
    <col min="3" max="3" width="5.75" customWidth="1"/>
    <col min="4" max="4" width="8.125" customWidth="1"/>
    <col min="5" max="5" width="6.25" customWidth="1"/>
    <col min="6" max="6" width="7.75" customWidth="1"/>
    <col min="7" max="7" width="6.375" customWidth="1"/>
    <col min="8" max="8" width="7.75" customWidth="1"/>
    <col min="9" max="9" width="5.75" customWidth="1"/>
    <col min="10" max="10" width="7.75" customWidth="1"/>
    <col min="11" max="11" width="6.75" customWidth="1"/>
    <col min="12" max="12" width="5.75" customWidth="1"/>
    <col min="13" max="13" width="7.75" customWidth="1"/>
    <col min="14" max="14" width="5.25" customWidth="1"/>
    <col min="15" max="15" width="7.75" customWidth="1"/>
    <col min="16" max="16" width="6.25" customWidth="1"/>
    <col min="17" max="17" width="8.75" customWidth="1"/>
    <col min="18" max="18" width="5.75" customWidth="1"/>
    <col min="19" max="19" width="8.75" customWidth="1"/>
    <col min="20" max="20" width="6.375" customWidth="1"/>
    <col min="21" max="21" width="8.75" customWidth="1"/>
    <col min="22" max="26" width="8" customWidth="1"/>
  </cols>
  <sheetData>
    <row r="1" spans="1:26" ht="20.2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9" customHeight="1">
      <c r="A2" s="4" t="s">
        <v>1</v>
      </c>
      <c r="B2" s="5" t="s">
        <v>2</v>
      </c>
      <c r="C2" s="5" t="s">
        <v>1</v>
      </c>
      <c r="D2" s="5" t="s">
        <v>3</v>
      </c>
      <c r="E2" s="5" t="s">
        <v>1</v>
      </c>
      <c r="F2" s="5" t="s">
        <v>4</v>
      </c>
      <c r="G2" s="5" t="s">
        <v>1</v>
      </c>
      <c r="H2" s="5" t="s">
        <v>5</v>
      </c>
      <c r="I2" s="5" t="s">
        <v>1</v>
      </c>
      <c r="J2" s="5" t="s">
        <v>6</v>
      </c>
      <c r="K2" s="1"/>
      <c r="L2" s="4" t="s">
        <v>1</v>
      </c>
      <c r="M2" s="5" t="s">
        <v>7</v>
      </c>
      <c r="N2" s="5" t="s">
        <v>1</v>
      </c>
      <c r="O2" s="5" t="s">
        <v>8</v>
      </c>
      <c r="P2" s="5" t="s">
        <v>1</v>
      </c>
      <c r="Q2" s="5" t="s">
        <v>9</v>
      </c>
      <c r="R2" s="5" t="s">
        <v>1</v>
      </c>
      <c r="S2" s="5" t="s">
        <v>10</v>
      </c>
      <c r="T2" s="5" t="s">
        <v>1</v>
      </c>
      <c r="U2" s="5" t="s">
        <v>11</v>
      </c>
      <c r="V2" s="1"/>
      <c r="W2" s="1"/>
      <c r="X2" s="1"/>
      <c r="Y2" s="1"/>
      <c r="Z2" s="1"/>
    </row>
    <row r="3" spans="1:26" ht="16.5" customHeight="1">
      <c r="A3" s="6">
        <v>37</v>
      </c>
      <c r="B3" s="7">
        <v>4.87</v>
      </c>
      <c r="C3" s="7">
        <v>37.299999999999997</v>
      </c>
      <c r="D3" s="7">
        <v>5.37</v>
      </c>
      <c r="E3" s="7">
        <v>37.6</v>
      </c>
      <c r="F3" s="7">
        <v>5.9</v>
      </c>
      <c r="G3" s="7">
        <v>37.9</v>
      </c>
      <c r="H3" s="7">
        <v>6.47</v>
      </c>
      <c r="I3" s="7">
        <v>38.200000000000003</v>
      </c>
      <c r="J3" s="8">
        <v>7.07</v>
      </c>
      <c r="K3" s="9"/>
      <c r="L3" s="6">
        <v>41.5</v>
      </c>
      <c r="M3" s="7">
        <v>16.36</v>
      </c>
      <c r="N3" s="7">
        <v>41.8</v>
      </c>
      <c r="O3" s="7">
        <v>17.559999999999999</v>
      </c>
      <c r="P3" s="7">
        <v>42.1</v>
      </c>
      <c r="Q3" s="7">
        <v>18.829999999999998</v>
      </c>
      <c r="R3" s="7">
        <v>42.4</v>
      </c>
      <c r="S3" s="7">
        <v>20.170000000000002</v>
      </c>
      <c r="T3" s="7">
        <v>42.7</v>
      </c>
      <c r="U3" s="8">
        <v>21.38</v>
      </c>
      <c r="V3" s="9"/>
      <c r="W3" s="9"/>
      <c r="X3" s="9"/>
      <c r="Y3" s="9"/>
      <c r="Z3" s="9"/>
    </row>
    <row r="4" spans="1:26" ht="15.75" customHeight="1">
      <c r="A4" s="10">
        <v>37.01</v>
      </c>
      <c r="B4" s="11">
        <v>4.8899999999999997</v>
      </c>
      <c r="C4" s="11">
        <v>37.21</v>
      </c>
      <c r="D4" s="11">
        <v>5.39</v>
      </c>
      <c r="E4" s="12">
        <v>37.61</v>
      </c>
      <c r="F4" s="11">
        <v>5.92</v>
      </c>
      <c r="G4" s="11">
        <v>37.909999999999997</v>
      </c>
      <c r="H4" s="11">
        <v>6.49</v>
      </c>
      <c r="I4" s="11">
        <v>38.21</v>
      </c>
      <c r="J4" s="13">
        <v>7.09</v>
      </c>
      <c r="K4" s="1"/>
      <c r="L4" s="10">
        <v>41.51</v>
      </c>
      <c r="M4" s="11">
        <v>16.399999999999999</v>
      </c>
      <c r="N4" s="11">
        <v>41.81</v>
      </c>
      <c r="O4" s="11">
        <v>17.600000000000001</v>
      </c>
      <c r="P4" s="12">
        <v>42.11</v>
      </c>
      <c r="Q4" s="11">
        <v>18.87</v>
      </c>
      <c r="R4" s="11">
        <v>42.41</v>
      </c>
      <c r="S4" s="11">
        <v>20.22</v>
      </c>
      <c r="T4" s="11">
        <v>42.71</v>
      </c>
      <c r="U4" s="13">
        <v>21.45</v>
      </c>
      <c r="V4" s="1"/>
      <c r="W4" s="1"/>
      <c r="X4" s="1"/>
      <c r="Y4" s="1"/>
      <c r="Z4" s="1"/>
    </row>
    <row r="5" spans="1:26" ht="15.75" customHeight="1">
      <c r="A5" s="14">
        <v>37.020000000000003</v>
      </c>
      <c r="B5" s="11">
        <v>4.9000000000000004</v>
      </c>
      <c r="C5" s="12">
        <v>37.32</v>
      </c>
      <c r="D5" s="11">
        <v>5.4</v>
      </c>
      <c r="E5" s="12">
        <v>37.619999999999997</v>
      </c>
      <c r="F5" s="11">
        <v>5.94</v>
      </c>
      <c r="G5" s="12">
        <v>37.92</v>
      </c>
      <c r="H5" s="11">
        <v>6.51</v>
      </c>
      <c r="I5" s="12">
        <v>38.22</v>
      </c>
      <c r="J5" s="13">
        <v>7.11</v>
      </c>
      <c r="K5" s="1"/>
      <c r="L5" s="14">
        <v>41.52</v>
      </c>
      <c r="M5" s="11">
        <v>16.440000000000001</v>
      </c>
      <c r="N5" s="12">
        <v>41.82</v>
      </c>
      <c r="O5" s="11">
        <v>17.64</v>
      </c>
      <c r="P5" s="12">
        <v>42.12</v>
      </c>
      <c r="Q5" s="11">
        <v>18.920000000000002</v>
      </c>
      <c r="R5" s="12">
        <v>42.42</v>
      </c>
      <c r="S5" s="11">
        <v>20.260000000000002</v>
      </c>
      <c r="T5" s="12">
        <v>42.72</v>
      </c>
      <c r="U5" s="13">
        <v>21.52</v>
      </c>
      <c r="V5" s="1"/>
      <c r="W5" s="1"/>
      <c r="X5" s="1"/>
      <c r="Y5" s="1"/>
      <c r="Z5" s="1"/>
    </row>
    <row r="6" spans="1:26" ht="15.75" customHeight="1">
      <c r="A6" s="10">
        <v>37.03</v>
      </c>
      <c r="B6" s="11">
        <v>4.92</v>
      </c>
      <c r="C6" s="11">
        <v>37.43</v>
      </c>
      <c r="D6" s="11">
        <v>5.42</v>
      </c>
      <c r="E6" s="12">
        <v>37.630000000000003</v>
      </c>
      <c r="F6" s="11">
        <v>5.95</v>
      </c>
      <c r="G6" s="11">
        <v>37.93</v>
      </c>
      <c r="H6" s="11">
        <v>6.53</v>
      </c>
      <c r="I6" s="11">
        <v>38.229999999999997</v>
      </c>
      <c r="J6" s="13">
        <v>7.13</v>
      </c>
      <c r="K6" s="1"/>
      <c r="L6" s="10">
        <v>41.53</v>
      </c>
      <c r="M6" s="11">
        <v>16.48</v>
      </c>
      <c r="N6" s="11">
        <v>41.83</v>
      </c>
      <c r="O6" s="11">
        <v>17.68</v>
      </c>
      <c r="P6" s="12">
        <v>42.13</v>
      </c>
      <c r="Q6" s="11">
        <v>18.96</v>
      </c>
      <c r="R6" s="11">
        <v>42.43</v>
      </c>
      <c r="S6" s="11">
        <v>20.309999999999999</v>
      </c>
      <c r="T6" s="11">
        <v>42.73</v>
      </c>
      <c r="U6" s="13">
        <v>21.58</v>
      </c>
      <c r="V6" s="1"/>
      <c r="W6" s="1"/>
      <c r="X6" s="1"/>
      <c r="Y6" s="1"/>
      <c r="Z6" s="1"/>
    </row>
    <row r="7" spans="1:26" ht="15.75" customHeight="1">
      <c r="A7" s="14">
        <v>37.04</v>
      </c>
      <c r="B7" s="11">
        <v>4.93</v>
      </c>
      <c r="C7" s="12">
        <v>37.54</v>
      </c>
      <c r="D7" s="11">
        <v>5.44</v>
      </c>
      <c r="E7" s="12">
        <v>37.64</v>
      </c>
      <c r="F7" s="11">
        <v>5.97</v>
      </c>
      <c r="G7" s="12">
        <v>37.94</v>
      </c>
      <c r="H7" s="11">
        <v>6.55</v>
      </c>
      <c r="I7" s="12">
        <v>38.24</v>
      </c>
      <c r="J7" s="13">
        <v>7.15</v>
      </c>
      <c r="K7" s="1"/>
      <c r="L7" s="14">
        <v>41.54</v>
      </c>
      <c r="M7" s="11">
        <v>16.52</v>
      </c>
      <c r="N7" s="12">
        <v>41.84</v>
      </c>
      <c r="O7" s="11">
        <v>17.72</v>
      </c>
      <c r="P7" s="12">
        <v>42.14</v>
      </c>
      <c r="Q7" s="11">
        <v>19.010000000000002</v>
      </c>
      <c r="R7" s="12">
        <v>42.44</v>
      </c>
      <c r="S7" s="11">
        <v>20.350000000000001</v>
      </c>
      <c r="T7" s="12">
        <v>42.74</v>
      </c>
      <c r="U7" s="13">
        <v>21.65</v>
      </c>
      <c r="V7" s="1"/>
      <c r="W7" s="1"/>
      <c r="X7" s="1"/>
      <c r="Y7" s="1"/>
      <c r="Z7" s="1"/>
    </row>
    <row r="8" spans="1:26" ht="15.75" customHeight="1">
      <c r="A8" s="10">
        <v>37.049999999999997</v>
      </c>
      <c r="B8" s="11">
        <v>4.95</v>
      </c>
      <c r="C8" s="11">
        <v>37.65</v>
      </c>
      <c r="D8" s="11">
        <v>5.46</v>
      </c>
      <c r="E8" s="12">
        <v>37.65</v>
      </c>
      <c r="F8" s="11">
        <v>5.99</v>
      </c>
      <c r="G8" s="11">
        <v>37.950000000000003</v>
      </c>
      <c r="H8" s="11">
        <v>6.57</v>
      </c>
      <c r="I8" s="11">
        <v>38.25</v>
      </c>
      <c r="J8" s="13">
        <v>7.17</v>
      </c>
      <c r="K8" s="1"/>
      <c r="L8" s="10">
        <v>41.55</v>
      </c>
      <c r="M8" s="11">
        <v>16.559999999999999</v>
      </c>
      <c r="N8" s="11">
        <v>41.85</v>
      </c>
      <c r="O8" s="11">
        <v>17.77</v>
      </c>
      <c r="P8" s="12">
        <v>42.15</v>
      </c>
      <c r="Q8" s="11">
        <v>19.05</v>
      </c>
      <c r="R8" s="11">
        <v>42.45</v>
      </c>
      <c r="S8" s="11">
        <v>20.399999999999999</v>
      </c>
      <c r="T8" s="11">
        <v>42.75</v>
      </c>
      <c r="U8" s="13">
        <v>21.72</v>
      </c>
      <c r="V8" s="1"/>
      <c r="W8" s="1"/>
      <c r="X8" s="1"/>
      <c r="Y8" s="1"/>
      <c r="Z8" s="1"/>
    </row>
    <row r="9" spans="1:26" ht="15.75" customHeight="1">
      <c r="A9" s="14">
        <v>37.06</v>
      </c>
      <c r="B9" s="11">
        <v>4.97</v>
      </c>
      <c r="C9" s="12">
        <v>37.76</v>
      </c>
      <c r="D9" s="11">
        <v>5.47</v>
      </c>
      <c r="E9" s="12">
        <v>37.659999999999997</v>
      </c>
      <c r="F9" s="11">
        <v>6.01</v>
      </c>
      <c r="G9" s="12">
        <v>37.96</v>
      </c>
      <c r="H9" s="11">
        <v>6.58</v>
      </c>
      <c r="I9" s="12">
        <v>38.26</v>
      </c>
      <c r="J9" s="13">
        <v>7.19</v>
      </c>
      <c r="K9" s="1"/>
      <c r="L9" s="14">
        <v>41.56</v>
      </c>
      <c r="M9" s="11">
        <v>16.59</v>
      </c>
      <c r="N9" s="12">
        <v>41.86</v>
      </c>
      <c r="O9" s="11">
        <v>17.809999999999999</v>
      </c>
      <c r="P9" s="12">
        <v>42.16</v>
      </c>
      <c r="Q9" s="11">
        <v>19.09</v>
      </c>
      <c r="R9" s="12">
        <v>42.46</v>
      </c>
      <c r="S9" s="11">
        <v>20.45</v>
      </c>
      <c r="T9" s="12">
        <v>42.76</v>
      </c>
      <c r="U9" s="13">
        <v>21.79</v>
      </c>
      <c r="V9" s="1"/>
      <c r="W9" s="1"/>
      <c r="X9" s="1"/>
      <c r="Y9" s="1"/>
      <c r="Z9" s="1"/>
    </row>
    <row r="10" spans="1:26" ht="15.75" customHeight="1">
      <c r="A10" s="10">
        <v>37.07</v>
      </c>
      <c r="B10" s="11">
        <v>4.9800000000000004</v>
      </c>
      <c r="C10" s="11">
        <v>37.869999999999997</v>
      </c>
      <c r="D10" s="11">
        <v>5.49</v>
      </c>
      <c r="E10" s="12">
        <v>37.67</v>
      </c>
      <c r="F10" s="11">
        <v>6.03</v>
      </c>
      <c r="G10" s="11">
        <v>37.97</v>
      </c>
      <c r="H10" s="11">
        <v>6.6</v>
      </c>
      <c r="I10" s="11">
        <v>38.270000000000003</v>
      </c>
      <c r="J10" s="13">
        <v>7.21</v>
      </c>
      <c r="K10" s="1"/>
      <c r="L10" s="10">
        <v>41.57</v>
      </c>
      <c r="M10" s="11">
        <v>16.63</v>
      </c>
      <c r="N10" s="11">
        <v>41.87</v>
      </c>
      <c r="O10" s="11">
        <v>17.850000000000001</v>
      </c>
      <c r="P10" s="12">
        <v>42.17</v>
      </c>
      <c r="Q10" s="11">
        <v>19.14</v>
      </c>
      <c r="R10" s="11">
        <v>42.47</v>
      </c>
      <c r="S10" s="11">
        <v>20.49</v>
      </c>
      <c r="T10" s="11">
        <v>42.77</v>
      </c>
      <c r="U10" s="13">
        <v>21.86</v>
      </c>
      <c r="V10" s="1"/>
      <c r="W10" s="1"/>
      <c r="X10" s="1"/>
      <c r="Y10" s="1"/>
      <c r="Z10" s="1"/>
    </row>
    <row r="11" spans="1:26" ht="15.75" customHeight="1">
      <c r="A11" s="14">
        <v>37.08</v>
      </c>
      <c r="B11" s="11">
        <v>5</v>
      </c>
      <c r="C11" s="12">
        <v>37.979999999999997</v>
      </c>
      <c r="D11" s="11">
        <v>5.51</v>
      </c>
      <c r="E11" s="12">
        <v>37.68</v>
      </c>
      <c r="F11" s="11">
        <v>6.04</v>
      </c>
      <c r="G11" s="12">
        <v>37.979999999999997</v>
      </c>
      <c r="H11" s="11">
        <v>6.62</v>
      </c>
      <c r="I11" s="12">
        <v>38.28</v>
      </c>
      <c r="J11" s="13">
        <v>7.23</v>
      </c>
      <c r="K11" s="1"/>
      <c r="L11" s="14">
        <v>41.58</v>
      </c>
      <c r="M11" s="11">
        <v>16.670000000000002</v>
      </c>
      <c r="N11" s="12">
        <v>41.88</v>
      </c>
      <c r="O11" s="11">
        <v>17.89</v>
      </c>
      <c r="P11" s="12">
        <v>42.18</v>
      </c>
      <c r="Q11" s="11">
        <v>19.18</v>
      </c>
      <c r="R11" s="12">
        <v>42.48</v>
      </c>
      <c r="S11" s="11">
        <v>20.54</v>
      </c>
      <c r="T11" s="12">
        <v>42.78</v>
      </c>
      <c r="U11" s="13">
        <v>21.92</v>
      </c>
      <c r="V11" s="1"/>
      <c r="W11" s="1"/>
      <c r="X11" s="1"/>
      <c r="Y11" s="1"/>
      <c r="Z11" s="1"/>
    </row>
    <row r="12" spans="1:26" ht="15.75" customHeight="1">
      <c r="A12" s="10">
        <v>37.090000000000003</v>
      </c>
      <c r="B12" s="11">
        <v>5.01</v>
      </c>
      <c r="C12" s="11">
        <v>38.090000000000003</v>
      </c>
      <c r="D12" s="11">
        <v>5.52</v>
      </c>
      <c r="E12" s="12">
        <v>37.69</v>
      </c>
      <c r="F12" s="11">
        <v>6.06</v>
      </c>
      <c r="G12" s="11">
        <v>37.99</v>
      </c>
      <c r="H12" s="11">
        <v>6.64</v>
      </c>
      <c r="I12" s="11">
        <v>38.29</v>
      </c>
      <c r="J12" s="13">
        <v>7.25</v>
      </c>
      <c r="K12" s="1"/>
      <c r="L12" s="10">
        <v>41.59</v>
      </c>
      <c r="M12" s="11">
        <v>16.71</v>
      </c>
      <c r="N12" s="11">
        <v>41.89</v>
      </c>
      <c r="O12" s="11">
        <v>17.93</v>
      </c>
      <c r="P12" s="12">
        <v>42.19</v>
      </c>
      <c r="Q12" s="11">
        <v>19.23</v>
      </c>
      <c r="R12" s="11">
        <v>42.49</v>
      </c>
      <c r="S12" s="11">
        <v>20.58</v>
      </c>
      <c r="T12" s="11">
        <v>42.79</v>
      </c>
      <c r="U12" s="13">
        <v>21.99</v>
      </c>
      <c r="V12" s="1"/>
      <c r="W12" s="1"/>
      <c r="X12" s="1"/>
      <c r="Y12" s="1"/>
      <c r="Z12" s="1"/>
    </row>
    <row r="13" spans="1:26" ht="15.75" customHeight="1">
      <c r="A13" s="15">
        <v>37.1</v>
      </c>
      <c r="B13" s="16">
        <v>5.03</v>
      </c>
      <c r="C13" s="7">
        <v>37.4</v>
      </c>
      <c r="D13" s="16">
        <v>5.54</v>
      </c>
      <c r="E13" s="7">
        <v>37.700000000000003</v>
      </c>
      <c r="F13" s="16">
        <v>6.08</v>
      </c>
      <c r="G13" s="7">
        <v>38</v>
      </c>
      <c r="H13" s="16">
        <v>6.66</v>
      </c>
      <c r="I13" s="7">
        <v>38.299999999999997</v>
      </c>
      <c r="J13" s="17">
        <v>7.27</v>
      </c>
      <c r="K13" s="18"/>
      <c r="L13" s="15">
        <v>41.6</v>
      </c>
      <c r="M13" s="16">
        <v>16.75</v>
      </c>
      <c r="N13" s="7">
        <v>41.9</v>
      </c>
      <c r="O13" s="16">
        <v>17.97</v>
      </c>
      <c r="P13" s="7">
        <v>42.2</v>
      </c>
      <c r="Q13" s="16">
        <v>19.27</v>
      </c>
      <c r="R13" s="7">
        <v>42.5</v>
      </c>
      <c r="S13" s="16">
        <v>20.63</v>
      </c>
      <c r="T13" s="7">
        <v>42.8</v>
      </c>
      <c r="U13" s="17">
        <v>22.06</v>
      </c>
      <c r="V13" s="18"/>
      <c r="W13" s="18"/>
      <c r="X13" s="18"/>
      <c r="Y13" s="18"/>
      <c r="Z13" s="18"/>
    </row>
    <row r="14" spans="1:26" ht="15.75" customHeight="1">
      <c r="A14" s="10">
        <v>37.11</v>
      </c>
      <c r="B14" s="11">
        <v>5.05</v>
      </c>
      <c r="C14" s="11">
        <v>37.409999999999997</v>
      </c>
      <c r="D14" s="11">
        <v>5.56</v>
      </c>
      <c r="E14" s="12">
        <v>37.71</v>
      </c>
      <c r="F14" s="11">
        <v>6.1</v>
      </c>
      <c r="G14" s="11">
        <v>38.01</v>
      </c>
      <c r="H14" s="11">
        <v>6.68</v>
      </c>
      <c r="I14" s="11">
        <v>38.31</v>
      </c>
      <c r="J14" s="13">
        <v>7.29</v>
      </c>
      <c r="K14" s="1"/>
      <c r="L14" s="10">
        <v>41.61</v>
      </c>
      <c r="M14" s="11">
        <v>16.79</v>
      </c>
      <c r="N14" s="11">
        <v>41.91</v>
      </c>
      <c r="O14" s="11">
        <v>18.010000000000002</v>
      </c>
      <c r="P14" s="12">
        <v>42.21</v>
      </c>
      <c r="Q14" s="11">
        <v>19.309999999999999</v>
      </c>
      <c r="R14" s="11">
        <v>42.51</v>
      </c>
      <c r="S14" s="11">
        <v>20.68</v>
      </c>
      <c r="T14" s="11">
        <v>42.81</v>
      </c>
      <c r="U14" s="13">
        <v>22.11</v>
      </c>
      <c r="V14" s="1"/>
      <c r="W14" s="1"/>
      <c r="X14" s="1"/>
      <c r="Y14" s="1"/>
      <c r="Z14" s="1"/>
    </row>
    <row r="15" spans="1:26" ht="15.75" customHeight="1">
      <c r="A15" s="14">
        <v>37.119999999999997</v>
      </c>
      <c r="B15" s="11">
        <v>5.0599999999999996</v>
      </c>
      <c r="C15" s="12">
        <v>37.42</v>
      </c>
      <c r="D15" s="11">
        <v>5.58</v>
      </c>
      <c r="E15" s="12">
        <v>37.72</v>
      </c>
      <c r="F15" s="11">
        <v>6.12</v>
      </c>
      <c r="G15" s="12">
        <v>38.020000000000003</v>
      </c>
      <c r="H15" s="11">
        <v>6.7</v>
      </c>
      <c r="I15" s="12">
        <v>38.32</v>
      </c>
      <c r="J15" s="13">
        <v>7.31</v>
      </c>
      <c r="K15" s="1"/>
      <c r="L15" s="14">
        <v>42.62</v>
      </c>
      <c r="M15" s="11">
        <v>16.829999999999998</v>
      </c>
      <c r="N15" s="12">
        <v>41.92</v>
      </c>
      <c r="O15" s="11">
        <v>18.059999999999999</v>
      </c>
      <c r="P15" s="12">
        <v>42.22</v>
      </c>
      <c r="Q15" s="11">
        <v>19.36</v>
      </c>
      <c r="R15" s="12">
        <v>42.52</v>
      </c>
      <c r="S15" s="11">
        <v>20.72</v>
      </c>
      <c r="T15" s="12">
        <v>42.82</v>
      </c>
      <c r="U15" s="13">
        <v>22.16</v>
      </c>
      <c r="V15" s="1"/>
      <c r="W15" s="1"/>
      <c r="X15" s="1"/>
      <c r="Y15" s="1"/>
      <c r="Z15" s="1"/>
    </row>
    <row r="16" spans="1:26" ht="15.75" customHeight="1">
      <c r="A16" s="10">
        <v>37.130000000000003</v>
      </c>
      <c r="B16" s="11">
        <v>5.08</v>
      </c>
      <c r="C16" s="11">
        <v>37.43</v>
      </c>
      <c r="D16" s="11">
        <v>5.59</v>
      </c>
      <c r="E16" s="12">
        <v>37.729999999999997</v>
      </c>
      <c r="F16" s="11">
        <v>6.14</v>
      </c>
      <c r="G16" s="11">
        <v>38.03</v>
      </c>
      <c r="H16" s="11">
        <v>6.72</v>
      </c>
      <c r="I16" s="11">
        <v>38.33</v>
      </c>
      <c r="J16" s="13">
        <v>7.34</v>
      </c>
      <c r="K16" s="1"/>
      <c r="L16" s="10">
        <v>43.63</v>
      </c>
      <c r="M16" s="11">
        <v>16.87</v>
      </c>
      <c r="N16" s="11">
        <v>41.93</v>
      </c>
      <c r="O16" s="11">
        <v>18.100000000000001</v>
      </c>
      <c r="P16" s="12">
        <v>42.23</v>
      </c>
      <c r="Q16" s="11">
        <v>19.399999999999999</v>
      </c>
      <c r="R16" s="11">
        <v>42.53</v>
      </c>
      <c r="S16" s="11">
        <v>20.77</v>
      </c>
      <c r="T16" s="11">
        <v>42.83</v>
      </c>
      <c r="U16" s="13">
        <v>22.21</v>
      </c>
      <c r="V16" s="1"/>
      <c r="W16" s="1"/>
      <c r="X16" s="1"/>
      <c r="Y16" s="1"/>
      <c r="Z16" s="1"/>
    </row>
    <row r="17" spans="1:26" ht="15.75" customHeight="1">
      <c r="A17" s="14">
        <v>37.14</v>
      </c>
      <c r="B17" s="11">
        <v>5.0999999999999996</v>
      </c>
      <c r="C17" s="12">
        <v>37.44</v>
      </c>
      <c r="D17" s="11">
        <v>5.61</v>
      </c>
      <c r="E17" s="12">
        <v>37.74</v>
      </c>
      <c r="F17" s="11">
        <v>6.16</v>
      </c>
      <c r="G17" s="12">
        <v>38.04</v>
      </c>
      <c r="H17" s="11">
        <v>6.74</v>
      </c>
      <c r="I17" s="12">
        <v>38.340000000000003</v>
      </c>
      <c r="J17" s="13">
        <v>7.36</v>
      </c>
      <c r="K17" s="1"/>
      <c r="L17" s="14">
        <v>44.64</v>
      </c>
      <c r="M17" s="11">
        <v>16.91</v>
      </c>
      <c r="N17" s="12">
        <v>41.94</v>
      </c>
      <c r="O17" s="11">
        <v>18.14</v>
      </c>
      <c r="P17" s="12">
        <v>42.24</v>
      </c>
      <c r="Q17" s="11">
        <v>19.45</v>
      </c>
      <c r="R17" s="12">
        <v>42.54</v>
      </c>
      <c r="S17" s="11">
        <v>20.82</v>
      </c>
      <c r="T17" s="12">
        <v>42.84</v>
      </c>
      <c r="U17" s="13">
        <v>22.26</v>
      </c>
      <c r="V17" s="1"/>
      <c r="W17" s="1"/>
      <c r="X17" s="1"/>
      <c r="Y17" s="1"/>
      <c r="Z17" s="1"/>
    </row>
    <row r="18" spans="1:26" ht="15.75" customHeight="1">
      <c r="A18" s="10">
        <v>37.15</v>
      </c>
      <c r="B18" s="11">
        <v>5.12</v>
      </c>
      <c r="C18" s="11">
        <v>37.450000000000003</v>
      </c>
      <c r="D18" s="11">
        <v>5.63</v>
      </c>
      <c r="E18" s="12">
        <v>37.75</v>
      </c>
      <c r="F18" s="11">
        <v>6.18</v>
      </c>
      <c r="G18" s="11">
        <v>38.049999999999997</v>
      </c>
      <c r="H18" s="11">
        <v>6.76</v>
      </c>
      <c r="I18" s="11">
        <v>38.35</v>
      </c>
      <c r="J18" s="13">
        <v>7.38</v>
      </c>
      <c r="K18" s="1"/>
      <c r="L18" s="10">
        <v>45.65</v>
      </c>
      <c r="M18" s="11">
        <v>16.95</v>
      </c>
      <c r="N18" s="11">
        <v>41.95</v>
      </c>
      <c r="O18" s="11">
        <v>18.190000000000001</v>
      </c>
      <c r="P18" s="12">
        <v>42.25</v>
      </c>
      <c r="Q18" s="11">
        <v>19.489999999999998</v>
      </c>
      <c r="R18" s="11">
        <v>42.55</v>
      </c>
      <c r="S18" s="11">
        <v>20.87</v>
      </c>
      <c r="T18" s="11">
        <v>42.85</v>
      </c>
      <c r="U18" s="13">
        <v>22.31</v>
      </c>
      <c r="V18" s="1"/>
      <c r="W18" s="1"/>
      <c r="X18" s="1"/>
      <c r="Y18" s="1"/>
      <c r="Z18" s="1"/>
    </row>
    <row r="19" spans="1:26" ht="15.75" customHeight="1">
      <c r="A19" s="14">
        <v>37.159999999999997</v>
      </c>
      <c r="B19" s="11">
        <v>5.13</v>
      </c>
      <c r="C19" s="12">
        <v>37.46</v>
      </c>
      <c r="D19" s="11">
        <v>5.66</v>
      </c>
      <c r="E19" s="12">
        <v>37.76</v>
      </c>
      <c r="F19" s="11">
        <v>6.19</v>
      </c>
      <c r="G19" s="12">
        <v>38.06</v>
      </c>
      <c r="H19" s="11">
        <v>6.78</v>
      </c>
      <c r="I19" s="12">
        <v>38.36</v>
      </c>
      <c r="J19" s="13">
        <v>7.4</v>
      </c>
      <c r="K19" s="1"/>
      <c r="L19" s="14">
        <v>46.66</v>
      </c>
      <c r="M19" s="11">
        <v>16.989999999999998</v>
      </c>
      <c r="N19" s="12">
        <v>41.96</v>
      </c>
      <c r="O19" s="11">
        <v>18.23</v>
      </c>
      <c r="P19" s="12">
        <v>42.26</v>
      </c>
      <c r="Q19" s="11">
        <v>19.53</v>
      </c>
      <c r="R19" s="12">
        <v>42.56</v>
      </c>
      <c r="S19" s="11">
        <v>20.91</v>
      </c>
      <c r="T19" s="12">
        <v>42.86</v>
      </c>
      <c r="U19" s="13">
        <v>22.35</v>
      </c>
      <c r="V19" s="1"/>
      <c r="W19" s="1"/>
      <c r="X19" s="1"/>
      <c r="Y19" s="1"/>
      <c r="Z19" s="1"/>
    </row>
    <row r="20" spans="1:26" ht="15.75" customHeight="1">
      <c r="A20" s="10">
        <v>37.17</v>
      </c>
      <c r="B20" s="11">
        <v>5.15</v>
      </c>
      <c r="C20" s="11">
        <v>37.47</v>
      </c>
      <c r="D20" s="11">
        <v>5.67</v>
      </c>
      <c r="E20" s="12">
        <v>37.770000000000003</v>
      </c>
      <c r="F20" s="11">
        <v>6.21</v>
      </c>
      <c r="G20" s="11">
        <v>38.07</v>
      </c>
      <c r="H20" s="11">
        <v>6.8</v>
      </c>
      <c r="I20" s="11">
        <v>38.369999999999997</v>
      </c>
      <c r="J20" s="13">
        <v>7.42</v>
      </c>
      <c r="K20" s="1"/>
      <c r="L20" s="10">
        <v>47.67</v>
      </c>
      <c r="M20" s="11">
        <v>17.03</v>
      </c>
      <c r="N20" s="11">
        <v>41.97</v>
      </c>
      <c r="O20" s="11">
        <v>18.27</v>
      </c>
      <c r="P20" s="12">
        <v>42.27</v>
      </c>
      <c r="Q20" s="11">
        <v>19.579999999999998</v>
      </c>
      <c r="R20" s="11">
        <v>42.57</v>
      </c>
      <c r="S20" s="11">
        <v>20.96</v>
      </c>
      <c r="T20" s="11">
        <v>42.87</v>
      </c>
      <c r="U20" s="13">
        <v>22.4</v>
      </c>
      <c r="V20" s="1"/>
      <c r="W20" s="1"/>
      <c r="X20" s="1"/>
      <c r="Y20" s="1"/>
      <c r="Z20" s="1"/>
    </row>
    <row r="21" spans="1:26" ht="15.75" customHeight="1">
      <c r="A21" s="14">
        <v>37.18</v>
      </c>
      <c r="B21" s="11">
        <v>5.17</v>
      </c>
      <c r="C21" s="12">
        <v>37.479999999999997</v>
      </c>
      <c r="D21" s="11">
        <v>5.68</v>
      </c>
      <c r="E21" s="12">
        <v>37.78</v>
      </c>
      <c r="F21" s="11">
        <v>6.23</v>
      </c>
      <c r="G21" s="12">
        <v>38.08</v>
      </c>
      <c r="H21" s="11">
        <v>6.82</v>
      </c>
      <c r="I21" s="12">
        <v>38.380000000000003</v>
      </c>
      <c r="J21" s="13">
        <v>7.45</v>
      </c>
      <c r="K21" s="1"/>
      <c r="L21" s="14">
        <v>48.68</v>
      </c>
      <c r="M21" s="11">
        <v>17.07</v>
      </c>
      <c r="N21" s="12">
        <v>41.98</v>
      </c>
      <c r="O21" s="11">
        <v>18.309999999999999</v>
      </c>
      <c r="P21" s="12">
        <v>42.28</v>
      </c>
      <c r="Q21" s="11">
        <v>19.62</v>
      </c>
      <c r="R21" s="12">
        <v>42.58</v>
      </c>
      <c r="S21" s="11">
        <v>21.01</v>
      </c>
      <c r="T21" s="12">
        <v>42.88</v>
      </c>
      <c r="U21" s="13">
        <v>22.45</v>
      </c>
      <c r="V21" s="1"/>
      <c r="W21" s="1"/>
      <c r="X21" s="1"/>
      <c r="Y21" s="1"/>
      <c r="Z21" s="1"/>
    </row>
    <row r="22" spans="1:26" ht="15.75" customHeight="1">
      <c r="A22" s="10">
        <v>37.19</v>
      </c>
      <c r="B22" s="11">
        <v>5.18</v>
      </c>
      <c r="C22" s="11">
        <v>37.49</v>
      </c>
      <c r="D22" s="11">
        <v>5.7</v>
      </c>
      <c r="E22" s="12">
        <v>37.79</v>
      </c>
      <c r="F22" s="11">
        <v>6.25</v>
      </c>
      <c r="G22" s="11">
        <v>38.090000000000003</v>
      </c>
      <c r="H22" s="11">
        <v>6.84</v>
      </c>
      <c r="I22" s="11">
        <v>38.39</v>
      </c>
      <c r="J22" s="13">
        <v>7.47</v>
      </c>
      <c r="K22" s="1"/>
      <c r="L22" s="10">
        <v>49.69</v>
      </c>
      <c r="M22" s="11">
        <v>17.11</v>
      </c>
      <c r="N22" s="11">
        <v>41.99</v>
      </c>
      <c r="O22" s="11">
        <v>18.36</v>
      </c>
      <c r="P22" s="12">
        <v>42.29</v>
      </c>
      <c r="Q22" s="11">
        <v>19.670000000000002</v>
      </c>
      <c r="R22" s="11">
        <v>42.59</v>
      </c>
      <c r="S22" s="11">
        <v>21.05</v>
      </c>
      <c r="T22" s="11">
        <v>42.89</v>
      </c>
      <c r="U22" s="13">
        <v>22.5</v>
      </c>
      <c r="V22" s="1"/>
      <c r="W22" s="1"/>
      <c r="X22" s="1"/>
      <c r="Y22" s="1"/>
      <c r="Z22" s="1"/>
    </row>
    <row r="23" spans="1:26" ht="15.75" customHeight="1">
      <c r="A23" s="15">
        <v>37.200000000000003</v>
      </c>
      <c r="B23" s="16">
        <v>5.2</v>
      </c>
      <c r="C23" s="7">
        <v>37.5</v>
      </c>
      <c r="D23" s="16">
        <v>5.72</v>
      </c>
      <c r="E23" s="7">
        <v>37.799999999999997</v>
      </c>
      <c r="F23" s="16">
        <v>6.27</v>
      </c>
      <c r="G23" s="7">
        <v>38.1</v>
      </c>
      <c r="H23" s="16">
        <v>6.86</v>
      </c>
      <c r="I23" s="7">
        <v>38.4</v>
      </c>
      <c r="J23" s="17">
        <v>7.49</v>
      </c>
      <c r="K23" s="18"/>
      <c r="L23" s="15">
        <v>41.7</v>
      </c>
      <c r="M23" s="16">
        <v>17.149999999999999</v>
      </c>
      <c r="N23" s="7">
        <v>42</v>
      </c>
      <c r="O23" s="16">
        <v>18.399999999999999</v>
      </c>
      <c r="P23" s="7">
        <v>42.3</v>
      </c>
      <c r="Q23" s="16">
        <v>19.71</v>
      </c>
      <c r="R23" s="7">
        <v>42.6</v>
      </c>
      <c r="S23" s="16">
        <v>21.1</v>
      </c>
      <c r="T23" s="7">
        <v>42.9</v>
      </c>
      <c r="U23" s="17">
        <v>22.55</v>
      </c>
      <c r="V23" s="18"/>
      <c r="W23" s="18"/>
      <c r="X23" s="18"/>
      <c r="Y23" s="18"/>
      <c r="Z23" s="18"/>
    </row>
    <row r="24" spans="1:26" ht="15.75" customHeight="1">
      <c r="A24" s="10">
        <v>37.21</v>
      </c>
      <c r="B24" s="11">
        <v>5.22</v>
      </c>
      <c r="C24" s="11">
        <v>37.51</v>
      </c>
      <c r="D24" s="11">
        <v>5.74</v>
      </c>
      <c r="E24" s="12">
        <v>37.81</v>
      </c>
      <c r="F24" s="11">
        <v>6.29</v>
      </c>
      <c r="G24" s="11">
        <v>38.11</v>
      </c>
      <c r="H24" s="11">
        <v>6.88</v>
      </c>
      <c r="I24" s="11">
        <v>38.409999999999997</v>
      </c>
      <c r="J24" s="13">
        <v>7.51</v>
      </c>
      <c r="K24" s="1"/>
      <c r="L24" s="10">
        <v>41.71</v>
      </c>
      <c r="M24" s="11">
        <v>17.190000000000001</v>
      </c>
      <c r="N24" s="11">
        <v>42.01</v>
      </c>
      <c r="O24" s="11">
        <v>18.440000000000001</v>
      </c>
      <c r="P24" s="12">
        <v>42.31</v>
      </c>
      <c r="Q24" s="11">
        <v>19.760000000000002</v>
      </c>
      <c r="R24" s="11">
        <v>42.61</v>
      </c>
      <c r="S24" s="11">
        <v>21.13</v>
      </c>
      <c r="T24" s="11">
        <v>42.91</v>
      </c>
      <c r="U24" s="13">
        <v>22.6</v>
      </c>
      <c r="V24" s="1"/>
      <c r="W24" s="1"/>
      <c r="X24" s="1"/>
      <c r="Y24" s="1"/>
      <c r="Z24" s="1"/>
    </row>
    <row r="25" spans="1:26" ht="15.75" customHeight="1">
      <c r="A25" s="14">
        <v>37.22</v>
      </c>
      <c r="B25" s="11">
        <v>5.23</v>
      </c>
      <c r="C25" s="12">
        <v>37.520000000000003</v>
      </c>
      <c r="D25" s="11">
        <v>5.76</v>
      </c>
      <c r="E25" s="12">
        <v>37.82</v>
      </c>
      <c r="F25" s="11">
        <v>6.31</v>
      </c>
      <c r="G25" s="12">
        <v>38.119999999999997</v>
      </c>
      <c r="H25" s="11">
        <v>6.9</v>
      </c>
      <c r="I25" s="12">
        <v>38.42</v>
      </c>
      <c r="J25" s="13">
        <v>7.53</v>
      </c>
      <c r="K25" s="1"/>
      <c r="L25" s="14">
        <v>41.72</v>
      </c>
      <c r="M25" s="11">
        <v>17.23</v>
      </c>
      <c r="N25" s="12">
        <v>42.02</v>
      </c>
      <c r="O25" s="11">
        <v>18.489999999999998</v>
      </c>
      <c r="P25" s="12">
        <v>42.32</v>
      </c>
      <c r="Q25" s="11">
        <v>19.8</v>
      </c>
      <c r="R25" s="12">
        <v>42.62</v>
      </c>
      <c r="S25" s="11">
        <v>21.16</v>
      </c>
      <c r="T25" s="12">
        <v>42.92</v>
      </c>
      <c r="U25" s="13">
        <v>22.65</v>
      </c>
      <c r="V25" s="1"/>
      <c r="W25" s="1"/>
      <c r="X25" s="1"/>
      <c r="Y25" s="1"/>
      <c r="Z25" s="1"/>
    </row>
    <row r="26" spans="1:26" ht="15.75" customHeight="1">
      <c r="A26" s="10">
        <v>37.229999999999997</v>
      </c>
      <c r="B26" s="11">
        <v>5.25</v>
      </c>
      <c r="C26" s="11">
        <v>37.53</v>
      </c>
      <c r="D26" s="11">
        <v>5.77</v>
      </c>
      <c r="E26" s="12">
        <v>37.83</v>
      </c>
      <c r="F26" s="11">
        <v>6.33</v>
      </c>
      <c r="G26" s="11">
        <v>38.130000000000003</v>
      </c>
      <c r="H26" s="11">
        <v>6.92</v>
      </c>
      <c r="I26" s="11">
        <v>38.43</v>
      </c>
      <c r="J26" s="13">
        <v>7.55</v>
      </c>
      <c r="K26" s="1"/>
      <c r="L26" s="10">
        <v>41.73</v>
      </c>
      <c r="M26" s="11">
        <v>17.27</v>
      </c>
      <c r="N26" s="11">
        <v>42.03</v>
      </c>
      <c r="O26" s="11">
        <v>18.53</v>
      </c>
      <c r="P26" s="12">
        <v>42.33</v>
      </c>
      <c r="Q26" s="11">
        <v>19.850000000000001</v>
      </c>
      <c r="R26" s="11">
        <v>42.63</v>
      </c>
      <c r="S26" s="11">
        <v>21.18</v>
      </c>
      <c r="T26" s="11">
        <v>42.93</v>
      </c>
      <c r="U26" s="13">
        <v>22.7</v>
      </c>
      <c r="V26" s="1"/>
      <c r="W26" s="1"/>
      <c r="X26" s="1"/>
      <c r="Y26" s="1"/>
      <c r="Z26" s="1"/>
    </row>
    <row r="27" spans="1:26" ht="15.75" customHeight="1">
      <c r="A27" s="14">
        <v>37.24</v>
      </c>
      <c r="B27" s="11">
        <v>5.27</v>
      </c>
      <c r="C27" s="12">
        <v>37.54</v>
      </c>
      <c r="D27" s="11">
        <v>5.79</v>
      </c>
      <c r="E27" s="12">
        <v>37.840000000000003</v>
      </c>
      <c r="F27" s="11">
        <v>6.35</v>
      </c>
      <c r="G27" s="12">
        <v>38.14</v>
      </c>
      <c r="H27" s="11">
        <v>6.94</v>
      </c>
      <c r="I27" s="12">
        <v>38.44</v>
      </c>
      <c r="J27" s="13">
        <v>7.57</v>
      </c>
      <c r="K27" s="1"/>
      <c r="L27" s="14">
        <v>41.74</v>
      </c>
      <c r="M27" s="11">
        <v>17.309999999999999</v>
      </c>
      <c r="N27" s="12">
        <v>42.04</v>
      </c>
      <c r="O27" s="11">
        <v>18.57</v>
      </c>
      <c r="P27" s="12">
        <v>42.34</v>
      </c>
      <c r="Q27" s="11">
        <v>19.89</v>
      </c>
      <c r="R27" s="12">
        <v>42.64</v>
      </c>
      <c r="S27" s="11">
        <v>21.21</v>
      </c>
      <c r="T27" s="12">
        <v>42.94</v>
      </c>
      <c r="U27" s="13">
        <v>22.75</v>
      </c>
      <c r="V27" s="1"/>
      <c r="W27" s="1"/>
      <c r="X27" s="1"/>
      <c r="Y27" s="1"/>
      <c r="Z27" s="1"/>
    </row>
    <row r="28" spans="1:26" ht="15.75" customHeight="1">
      <c r="A28" s="10">
        <v>37.25</v>
      </c>
      <c r="B28" s="11">
        <v>5.29</v>
      </c>
      <c r="C28" s="11">
        <v>37.549999999999997</v>
      </c>
      <c r="D28" s="11">
        <v>5.81</v>
      </c>
      <c r="E28" s="12">
        <v>37.85</v>
      </c>
      <c r="F28" s="11">
        <v>6.37</v>
      </c>
      <c r="G28" s="11">
        <v>38.15</v>
      </c>
      <c r="H28" s="11">
        <v>6.97</v>
      </c>
      <c r="I28" s="11">
        <v>38.450000000000003</v>
      </c>
      <c r="J28" s="13">
        <v>7.6</v>
      </c>
      <c r="K28" s="1"/>
      <c r="L28" s="10">
        <v>41.75</v>
      </c>
      <c r="M28" s="11">
        <v>17.36</v>
      </c>
      <c r="N28" s="11">
        <v>42.05</v>
      </c>
      <c r="O28" s="11">
        <v>18.62</v>
      </c>
      <c r="P28" s="12">
        <v>42.35</v>
      </c>
      <c r="Q28" s="11">
        <v>19.940000000000001</v>
      </c>
      <c r="R28" s="11">
        <v>42.65</v>
      </c>
      <c r="S28" s="11">
        <v>21.24</v>
      </c>
      <c r="T28" s="11">
        <v>42.95</v>
      </c>
      <c r="U28" s="13">
        <v>22.8</v>
      </c>
      <c r="V28" s="1"/>
      <c r="W28" s="1"/>
      <c r="X28" s="1"/>
      <c r="Y28" s="1"/>
      <c r="Z28" s="1"/>
    </row>
    <row r="29" spans="1:26" ht="15.75" customHeight="1">
      <c r="A29" s="14">
        <v>37.26</v>
      </c>
      <c r="B29" s="11">
        <v>5.3</v>
      </c>
      <c r="C29" s="12">
        <v>37.56</v>
      </c>
      <c r="D29" s="11">
        <v>5.83</v>
      </c>
      <c r="E29" s="12">
        <v>37.86</v>
      </c>
      <c r="F29" s="11">
        <v>6.37</v>
      </c>
      <c r="G29" s="12">
        <v>38.159999999999997</v>
      </c>
      <c r="H29" s="11">
        <v>6.99</v>
      </c>
      <c r="I29" s="12">
        <v>38.46</v>
      </c>
      <c r="J29" s="13">
        <v>7.62</v>
      </c>
      <c r="K29" s="1"/>
      <c r="L29" s="14">
        <v>41.76</v>
      </c>
      <c r="M29" s="11">
        <v>17.399999999999999</v>
      </c>
      <c r="N29" s="12">
        <v>42.06</v>
      </c>
      <c r="O29" s="11">
        <v>18.66</v>
      </c>
      <c r="P29" s="12">
        <v>42.36</v>
      </c>
      <c r="Q29" s="11">
        <v>19.989999999999998</v>
      </c>
      <c r="R29" s="12">
        <v>42.66</v>
      </c>
      <c r="S29" s="11">
        <v>21.27</v>
      </c>
      <c r="T29" s="12">
        <v>42.96</v>
      </c>
      <c r="U29" s="13">
        <v>22.85</v>
      </c>
      <c r="V29" s="1"/>
      <c r="W29" s="1"/>
      <c r="X29" s="1"/>
      <c r="Y29" s="1"/>
      <c r="Z29" s="1"/>
    </row>
    <row r="30" spans="1:26" ht="15.75" customHeight="1">
      <c r="A30" s="10">
        <v>37.270000000000003</v>
      </c>
      <c r="B30" s="11">
        <v>5.32</v>
      </c>
      <c r="C30" s="11">
        <v>37.57</v>
      </c>
      <c r="D30" s="11">
        <v>5.85</v>
      </c>
      <c r="E30" s="12">
        <v>37.869999999999997</v>
      </c>
      <c r="F30" s="11">
        <v>6.41</v>
      </c>
      <c r="G30" s="11">
        <v>38.17</v>
      </c>
      <c r="H30" s="11">
        <v>7.01</v>
      </c>
      <c r="I30" s="11">
        <v>38.47</v>
      </c>
      <c r="J30" s="13">
        <v>7.64</v>
      </c>
      <c r="K30" s="1"/>
      <c r="L30" s="10">
        <v>41.77</v>
      </c>
      <c r="M30" s="11">
        <v>17.440000000000001</v>
      </c>
      <c r="N30" s="11">
        <v>42.07</v>
      </c>
      <c r="O30" s="11">
        <v>18.7</v>
      </c>
      <c r="P30" s="12">
        <v>42.37</v>
      </c>
      <c r="Q30" s="11">
        <v>20.03</v>
      </c>
      <c r="R30" s="11">
        <v>42.67</v>
      </c>
      <c r="S30" s="11">
        <v>21.3</v>
      </c>
      <c r="T30" s="11">
        <v>42.97</v>
      </c>
      <c r="U30" s="13">
        <v>22.9</v>
      </c>
      <c r="V30" s="1"/>
      <c r="W30" s="1"/>
      <c r="X30" s="1"/>
      <c r="Y30" s="1"/>
      <c r="Z30" s="1"/>
    </row>
    <row r="31" spans="1:26" ht="15.75" customHeight="1">
      <c r="A31" s="14">
        <v>37.28</v>
      </c>
      <c r="B31" s="11">
        <v>5.34</v>
      </c>
      <c r="C31" s="12">
        <v>37.58</v>
      </c>
      <c r="D31" s="11">
        <v>5.86</v>
      </c>
      <c r="E31" s="12">
        <v>37.880000000000003</v>
      </c>
      <c r="F31" s="11">
        <v>6.43</v>
      </c>
      <c r="G31" s="12">
        <v>38.18</v>
      </c>
      <c r="H31" s="11">
        <v>7.03</v>
      </c>
      <c r="I31" s="12">
        <v>38.479999999999997</v>
      </c>
      <c r="J31" s="13">
        <v>7.66</v>
      </c>
      <c r="K31" s="1"/>
      <c r="L31" s="14">
        <v>41.78</v>
      </c>
      <c r="M31" s="11">
        <v>17.48</v>
      </c>
      <c r="N31" s="12">
        <v>42.08</v>
      </c>
      <c r="O31" s="11">
        <v>18.739999999999998</v>
      </c>
      <c r="P31" s="12">
        <v>42.38</v>
      </c>
      <c r="Q31" s="11">
        <v>20.079999999999998</v>
      </c>
      <c r="R31" s="12">
        <v>42.68</v>
      </c>
      <c r="S31" s="11">
        <v>21.32</v>
      </c>
      <c r="T31" s="12">
        <v>42.98</v>
      </c>
      <c r="U31" s="13">
        <v>22.95</v>
      </c>
      <c r="V31" s="1"/>
      <c r="W31" s="1"/>
      <c r="X31" s="1"/>
      <c r="Y31" s="1"/>
      <c r="Z31" s="1"/>
    </row>
    <row r="32" spans="1:26" ht="16.5" customHeight="1">
      <c r="A32" s="19">
        <v>37.29</v>
      </c>
      <c r="B32" s="20">
        <v>5.35</v>
      </c>
      <c r="C32" s="20">
        <v>37.590000000000003</v>
      </c>
      <c r="D32" s="20">
        <v>5.88</v>
      </c>
      <c r="E32" s="20">
        <v>37.89</v>
      </c>
      <c r="F32" s="20">
        <v>6.45</v>
      </c>
      <c r="G32" s="20">
        <v>38.19</v>
      </c>
      <c r="H32" s="20">
        <v>7.05</v>
      </c>
      <c r="I32" s="20">
        <v>38.49</v>
      </c>
      <c r="J32" s="21">
        <v>7.68</v>
      </c>
      <c r="K32" s="1"/>
      <c r="L32" s="19">
        <v>41.79</v>
      </c>
      <c r="M32" s="20">
        <v>17.52</v>
      </c>
      <c r="N32" s="20">
        <v>42.09</v>
      </c>
      <c r="O32" s="20">
        <v>18.79</v>
      </c>
      <c r="P32" s="20">
        <v>42.39</v>
      </c>
      <c r="Q32" s="20">
        <v>20.12</v>
      </c>
      <c r="R32" s="20">
        <v>42.69</v>
      </c>
      <c r="S32" s="20">
        <v>21.35</v>
      </c>
      <c r="T32" s="20">
        <v>42.99</v>
      </c>
      <c r="U32" s="21">
        <v>23</v>
      </c>
      <c r="V32" s="1"/>
      <c r="W32" s="1"/>
      <c r="X32" s="1"/>
      <c r="Y32" s="1"/>
      <c r="Z32" s="1"/>
    </row>
    <row r="33" spans="1:26" ht="16.5" customHeight="1">
      <c r="A33" s="2"/>
      <c r="B33" s="22"/>
      <c r="C33" s="2"/>
      <c r="D33" s="22"/>
      <c r="E33" s="2"/>
      <c r="F33" s="22"/>
      <c r="G33" s="2"/>
      <c r="H33" s="22"/>
      <c r="I33" s="2"/>
      <c r="J33" s="22"/>
      <c r="K33" s="1"/>
      <c r="L33" s="2"/>
      <c r="M33" s="2"/>
      <c r="N33" s="1"/>
      <c r="O33" s="3"/>
      <c r="P33" s="1"/>
      <c r="Q33" s="3"/>
      <c r="R33" s="1"/>
      <c r="S33" s="3"/>
      <c r="T33" s="1"/>
      <c r="U33" s="3"/>
      <c r="V33" s="1"/>
      <c r="W33" s="1"/>
      <c r="X33" s="1"/>
      <c r="Y33" s="1"/>
      <c r="Z33" s="1"/>
    </row>
    <row r="34" spans="1:26" ht="39" customHeight="1">
      <c r="A34" s="4" t="s">
        <v>1</v>
      </c>
      <c r="B34" s="5" t="s">
        <v>12</v>
      </c>
      <c r="C34" s="5" t="s">
        <v>1</v>
      </c>
      <c r="D34" s="5" t="s">
        <v>13</v>
      </c>
      <c r="E34" s="5" t="s">
        <v>1</v>
      </c>
      <c r="F34" s="5" t="s">
        <v>14</v>
      </c>
      <c r="G34" s="5" t="s">
        <v>1</v>
      </c>
      <c r="H34" s="5" t="s">
        <v>15</v>
      </c>
      <c r="I34" s="5" t="s">
        <v>1</v>
      </c>
      <c r="J34" s="5" t="s">
        <v>16</v>
      </c>
      <c r="K34" s="1"/>
      <c r="L34" s="4" t="s">
        <v>1</v>
      </c>
      <c r="M34" s="5" t="s">
        <v>17</v>
      </c>
      <c r="N34" s="5" t="s">
        <v>1</v>
      </c>
      <c r="O34" s="5" t="s">
        <v>18</v>
      </c>
      <c r="P34" s="5" t="s">
        <v>1</v>
      </c>
      <c r="Q34" s="5" t="s">
        <v>19</v>
      </c>
      <c r="R34" s="5" t="s">
        <v>1</v>
      </c>
      <c r="S34" s="5" t="s">
        <v>20</v>
      </c>
      <c r="T34" s="5" t="s">
        <v>1</v>
      </c>
      <c r="U34" s="5" t="s">
        <v>21</v>
      </c>
      <c r="V34" s="1"/>
      <c r="W34" s="1"/>
      <c r="X34" s="1"/>
      <c r="Y34" s="1"/>
      <c r="Z34" s="1"/>
    </row>
    <row r="35" spans="1:26" ht="16.5" customHeight="1">
      <c r="A35" s="6">
        <v>38.5</v>
      </c>
      <c r="B35" s="7">
        <v>7.7</v>
      </c>
      <c r="C35" s="7">
        <v>38.799999999999997</v>
      </c>
      <c r="D35" s="7">
        <v>8.3699999999999992</v>
      </c>
      <c r="E35" s="7">
        <v>39.1</v>
      </c>
      <c r="F35" s="7">
        <v>9.07</v>
      </c>
      <c r="G35" s="7">
        <v>39.4</v>
      </c>
      <c r="H35" s="7">
        <v>9.81</v>
      </c>
      <c r="I35" s="7">
        <v>39.700000000000003</v>
      </c>
      <c r="J35" s="8">
        <v>10.58</v>
      </c>
      <c r="K35" s="9"/>
      <c r="L35" s="6">
        <v>43</v>
      </c>
      <c r="M35" s="7">
        <v>23.05</v>
      </c>
      <c r="N35" s="7">
        <v>43.3</v>
      </c>
      <c r="O35" s="7">
        <v>24.6</v>
      </c>
      <c r="P35" s="7">
        <v>43.6</v>
      </c>
      <c r="Q35" s="7">
        <v>26.21</v>
      </c>
      <c r="R35" s="7">
        <v>43.9</v>
      </c>
      <c r="S35" s="7">
        <v>27.9</v>
      </c>
      <c r="T35" s="7">
        <v>44.2</v>
      </c>
      <c r="U35" s="8">
        <v>29.65</v>
      </c>
      <c r="V35" s="9"/>
      <c r="W35" s="9"/>
      <c r="X35" s="9"/>
      <c r="Y35" s="9"/>
      <c r="Z35" s="9"/>
    </row>
    <row r="36" spans="1:26" ht="15.75" customHeight="1">
      <c r="A36" s="10">
        <v>38.51</v>
      </c>
      <c r="B36" s="11">
        <v>7.72</v>
      </c>
      <c r="C36" s="11">
        <v>38.81</v>
      </c>
      <c r="D36" s="11">
        <v>8.39</v>
      </c>
      <c r="E36" s="12">
        <v>39.11</v>
      </c>
      <c r="F36" s="11">
        <v>9.1</v>
      </c>
      <c r="G36" s="11">
        <v>39.409999999999997</v>
      </c>
      <c r="H36" s="11">
        <v>9.84</v>
      </c>
      <c r="I36" s="11">
        <v>39.71</v>
      </c>
      <c r="J36" s="13">
        <v>10.61</v>
      </c>
      <c r="K36" s="1"/>
      <c r="L36" s="10">
        <v>43.01</v>
      </c>
      <c r="M36" s="11">
        <v>23.1</v>
      </c>
      <c r="N36" s="11">
        <v>43.31</v>
      </c>
      <c r="O36" s="11">
        <v>24.65</v>
      </c>
      <c r="P36" s="12">
        <v>43.61</v>
      </c>
      <c r="Q36" s="11">
        <v>26.27</v>
      </c>
      <c r="R36" s="11">
        <v>43.91</v>
      </c>
      <c r="S36" s="11">
        <v>27.96</v>
      </c>
      <c r="T36" s="11">
        <v>44.21</v>
      </c>
      <c r="U36" s="13">
        <v>29.71</v>
      </c>
      <c r="V36" s="1"/>
      <c r="W36" s="1"/>
      <c r="X36" s="1"/>
      <c r="Y36" s="1"/>
      <c r="Z36" s="1"/>
    </row>
    <row r="37" spans="1:26" ht="15.75" customHeight="1">
      <c r="A37" s="14">
        <v>38.520000000000003</v>
      </c>
      <c r="B37" s="11">
        <v>7.75</v>
      </c>
      <c r="C37" s="12">
        <v>38.82</v>
      </c>
      <c r="D37" s="11">
        <v>8.42</v>
      </c>
      <c r="E37" s="12">
        <v>39.119999999999997</v>
      </c>
      <c r="F37" s="11">
        <v>9.1199999999999992</v>
      </c>
      <c r="G37" s="12">
        <v>39.42</v>
      </c>
      <c r="H37" s="11">
        <v>9.86</v>
      </c>
      <c r="I37" s="12">
        <v>39.72</v>
      </c>
      <c r="J37" s="13">
        <v>10.63</v>
      </c>
      <c r="K37" s="1"/>
      <c r="L37" s="14">
        <v>43.02</v>
      </c>
      <c r="M37" s="11">
        <v>23.15</v>
      </c>
      <c r="N37" s="12">
        <v>43.32</v>
      </c>
      <c r="O37" s="11">
        <v>24.71</v>
      </c>
      <c r="P37" s="12">
        <v>43.62</v>
      </c>
      <c r="Q37" s="11">
        <v>26.32</v>
      </c>
      <c r="R37" s="12">
        <v>43.92</v>
      </c>
      <c r="S37" s="11">
        <v>28.01</v>
      </c>
      <c r="T37" s="12">
        <v>44.22</v>
      </c>
      <c r="U37" s="13">
        <v>29.77</v>
      </c>
      <c r="V37" s="1"/>
      <c r="W37" s="1"/>
      <c r="X37" s="1"/>
      <c r="Y37" s="1"/>
      <c r="Z37" s="1"/>
    </row>
    <row r="38" spans="1:26" ht="15.75" customHeight="1">
      <c r="A38" s="10">
        <v>38.53</v>
      </c>
      <c r="B38" s="11">
        <v>7.77</v>
      </c>
      <c r="C38" s="11">
        <v>38.83</v>
      </c>
      <c r="D38" s="11">
        <v>8.44</v>
      </c>
      <c r="E38" s="12">
        <v>39.130000000000003</v>
      </c>
      <c r="F38" s="11">
        <v>9.15</v>
      </c>
      <c r="G38" s="11">
        <v>39.43</v>
      </c>
      <c r="H38" s="11">
        <v>9.89</v>
      </c>
      <c r="I38" s="11">
        <v>39.729999999999997</v>
      </c>
      <c r="J38" s="13">
        <v>10.66</v>
      </c>
      <c r="K38" s="1"/>
      <c r="L38" s="10">
        <v>43.03</v>
      </c>
      <c r="M38" s="11">
        <v>23.2</v>
      </c>
      <c r="N38" s="11">
        <v>43.33</v>
      </c>
      <c r="O38" s="11">
        <v>24.76</v>
      </c>
      <c r="P38" s="12">
        <v>43.63</v>
      </c>
      <c r="Q38" s="11">
        <v>26.38</v>
      </c>
      <c r="R38" s="11">
        <v>43.93</v>
      </c>
      <c r="S38" s="11">
        <v>28.07</v>
      </c>
      <c r="T38" s="11">
        <v>44.23</v>
      </c>
      <c r="U38" s="13">
        <v>29.83</v>
      </c>
      <c r="V38" s="1"/>
      <c r="W38" s="1"/>
      <c r="X38" s="1"/>
      <c r="Y38" s="1"/>
      <c r="Z38" s="1"/>
    </row>
    <row r="39" spans="1:26" ht="15.75" customHeight="1">
      <c r="A39" s="14">
        <v>38.54</v>
      </c>
      <c r="B39" s="11">
        <v>7.79</v>
      </c>
      <c r="C39" s="12">
        <v>38.840000000000003</v>
      </c>
      <c r="D39" s="11">
        <v>8.4600000000000009</v>
      </c>
      <c r="E39" s="12">
        <v>39.14</v>
      </c>
      <c r="F39" s="11">
        <v>9.17</v>
      </c>
      <c r="G39" s="12">
        <v>39.44</v>
      </c>
      <c r="H39" s="11">
        <v>9.91</v>
      </c>
      <c r="I39" s="12">
        <v>39.74</v>
      </c>
      <c r="J39" s="13">
        <v>10.69</v>
      </c>
      <c r="K39" s="1"/>
      <c r="L39" s="14">
        <v>43.04</v>
      </c>
      <c r="M39" s="11">
        <v>23.25</v>
      </c>
      <c r="N39" s="12">
        <v>43.34</v>
      </c>
      <c r="O39" s="11">
        <v>24.81</v>
      </c>
      <c r="P39" s="12">
        <v>43.64</v>
      </c>
      <c r="Q39" s="11">
        <v>26.43</v>
      </c>
      <c r="R39" s="12">
        <v>43.94</v>
      </c>
      <c r="S39" s="11">
        <v>28.13</v>
      </c>
      <c r="T39" s="12">
        <v>44.24</v>
      </c>
      <c r="U39" s="13">
        <v>29.89</v>
      </c>
      <c r="V39" s="1"/>
      <c r="W39" s="1"/>
      <c r="X39" s="1"/>
      <c r="Y39" s="1"/>
      <c r="Z39" s="1"/>
    </row>
    <row r="40" spans="1:26" ht="15.75" customHeight="1">
      <c r="A40" s="10">
        <v>38.549999999999997</v>
      </c>
      <c r="B40" s="11">
        <v>7.81</v>
      </c>
      <c r="C40" s="11">
        <v>38.85</v>
      </c>
      <c r="D40" s="11">
        <v>8.49</v>
      </c>
      <c r="E40" s="12">
        <v>39.15</v>
      </c>
      <c r="F40" s="11">
        <v>9.1999999999999993</v>
      </c>
      <c r="G40" s="11">
        <v>39.450000000000003</v>
      </c>
      <c r="H40" s="11">
        <v>9.94</v>
      </c>
      <c r="I40" s="11">
        <v>39.75</v>
      </c>
      <c r="J40" s="13">
        <v>10.72</v>
      </c>
      <c r="K40" s="1"/>
      <c r="L40" s="10">
        <v>43.05</v>
      </c>
      <c r="M40" s="11">
        <v>23.31</v>
      </c>
      <c r="N40" s="11">
        <v>43.35</v>
      </c>
      <c r="O40" s="11">
        <v>24.87</v>
      </c>
      <c r="P40" s="12">
        <v>43.65</v>
      </c>
      <c r="Q40" s="11">
        <v>26.49</v>
      </c>
      <c r="R40" s="11">
        <v>43.95</v>
      </c>
      <c r="S40" s="11">
        <v>28.19</v>
      </c>
      <c r="T40" s="11">
        <v>44.25</v>
      </c>
      <c r="U40" s="13">
        <v>29.95</v>
      </c>
      <c r="V40" s="1"/>
      <c r="W40" s="1"/>
      <c r="X40" s="1"/>
      <c r="Y40" s="1"/>
      <c r="Z40" s="1"/>
    </row>
    <row r="41" spans="1:26" ht="15.75" customHeight="1">
      <c r="A41" s="14">
        <v>38.56</v>
      </c>
      <c r="B41" s="11">
        <v>7.83</v>
      </c>
      <c r="C41" s="12">
        <v>38.86</v>
      </c>
      <c r="D41" s="11">
        <v>8.51</v>
      </c>
      <c r="E41" s="12">
        <v>39.159999999999997</v>
      </c>
      <c r="F41" s="11">
        <v>9.2200000000000006</v>
      </c>
      <c r="G41" s="12">
        <v>39.46</v>
      </c>
      <c r="H41" s="11">
        <v>9.9600000000000009</v>
      </c>
      <c r="I41" s="12">
        <v>39.76</v>
      </c>
      <c r="J41" s="13">
        <v>10.74</v>
      </c>
      <c r="K41" s="1"/>
      <c r="L41" s="14">
        <v>43.06</v>
      </c>
      <c r="M41" s="11">
        <v>23.36</v>
      </c>
      <c r="N41" s="12">
        <v>43.36</v>
      </c>
      <c r="O41" s="11">
        <v>24.92</v>
      </c>
      <c r="P41" s="12">
        <v>43.66</v>
      </c>
      <c r="Q41" s="11">
        <v>26.55</v>
      </c>
      <c r="R41" s="12">
        <v>43.96</v>
      </c>
      <c r="S41" s="11">
        <v>28.24</v>
      </c>
      <c r="T41" s="12">
        <v>44.26</v>
      </c>
      <c r="U41" s="13">
        <v>30.01</v>
      </c>
      <c r="V41" s="1"/>
      <c r="W41" s="1"/>
      <c r="X41" s="1"/>
      <c r="Y41" s="1"/>
      <c r="Z41" s="1"/>
    </row>
    <row r="42" spans="1:26" ht="15.75" customHeight="1">
      <c r="A42" s="10">
        <v>38.57</v>
      </c>
      <c r="B42" s="11">
        <v>7.86</v>
      </c>
      <c r="C42" s="11">
        <v>38.869999999999997</v>
      </c>
      <c r="D42" s="11">
        <v>8.5299999999999994</v>
      </c>
      <c r="E42" s="12">
        <v>39.17</v>
      </c>
      <c r="F42" s="11">
        <v>9.25</v>
      </c>
      <c r="G42" s="11">
        <v>39.47</v>
      </c>
      <c r="H42" s="11">
        <v>9.99</v>
      </c>
      <c r="I42" s="11">
        <v>39.770000000000003</v>
      </c>
      <c r="J42" s="13">
        <v>10.77</v>
      </c>
      <c r="K42" s="1"/>
      <c r="L42" s="10">
        <v>43.07</v>
      </c>
      <c r="M42" s="11">
        <v>23.41</v>
      </c>
      <c r="N42" s="11">
        <v>43.37</v>
      </c>
      <c r="O42" s="11">
        <v>24.97</v>
      </c>
      <c r="P42" s="12">
        <v>43.67</v>
      </c>
      <c r="Q42" s="11">
        <v>26.6</v>
      </c>
      <c r="R42" s="11">
        <v>43.97</v>
      </c>
      <c r="S42" s="11">
        <v>28.3</v>
      </c>
      <c r="T42" s="11">
        <v>44.27</v>
      </c>
      <c r="U42" s="13">
        <v>30.07</v>
      </c>
      <c r="V42" s="1"/>
      <c r="W42" s="1"/>
      <c r="X42" s="1"/>
      <c r="Y42" s="1"/>
      <c r="Z42" s="1"/>
    </row>
    <row r="43" spans="1:26" ht="15.75" customHeight="1">
      <c r="A43" s="14">
        <v>38.58</v>
      </c>
      <c r="B43" s="11">
        <v>7.88</v>
      </c>
      <c r="C43" s="12">
        <v>38.880000000000003</v>
      </c>
      <c r="D43" s="11">
        <v>8.5500000000000007</v>
      </c>
      <c r="E43" s="12">
        <v>39.18</v>
      </c>
      <c r="F43" s="11">
        <v>9.27</v>
      </c>
      <c r="G43" s="12">
        <v>39.479999999999997</v>
      </c>
      <c r="H43" s="11">
        <v>10.01</v>
      </c>
      <c r="I43" s="12">
        <v>39.78</v>
      </c>
      <c r="J43" s="13">
        <v>10.8</v>
      </c>
      <c r="K43" s="1"/>
      <c r="L43" s="14">
        <v>43.08</v>
      </c>
      <c r="M43" s="11">
        <v>23.46</v>
      </c>
      <c r="N43" s="12">
        <v>43.38</v>
      </c>
      <c r="O43" s="11">
        <v>25.02</v>
      </c>
      <c r="P43" s="12">
        <v>43.68</v>
      </c>
      <c r="Q43" s="11">
        <v>26.66</v>
      </c>
      <c r="R43" s="12">
        <v>43.98</v>
      </c>
      <c r="S43" s="11">
        <v>28.36</v>
      </c>
      <c r="T43" s="12">
        <v>44.28</v>
      </c>
      <c r="U43" s="13">
        <v>30.13</v>
      </c>
      <c r="V43" s="1"/>
      <c r="W43" s="1"/>
      <c r="X43" s="1"/>
      <c r="Y43" s="1"/>
      <c r="Z43" s="1"/>
    </row>
    <row r="44" spans="1:26" ht="15.75" customHeight="1">
      <c r="A44" s="10">
        <v>38.590000000000003</v>
      </c>
      <c r="B44" s="11">
        <v>7.9</v>
      </c>
      <c r="C44" s="11">
        <v>38.89</v>
      </c>
      <c r="D44" s="11">
        <v>8.58</v>
      </c>
      <c r="E44" s="12">
        <v>39.19</v>
      </c>
      <c r="F44" s="11">
        <v>9.3000000000000007</v>
      </c>
      <c r="G44" s="11">
        <v>39.49</v>
      </c>
      <c r="H44" s="11">
        <v>10.039999999999999</v>
      </c>
      <c r="I44" s="11">
        <v>39.79</v>
      </c>
      <c r="J44" s="13">
        <v>10.82</v>
      </c>
      <c r="K44" s="1"/>
      <c r="L44" s="10">
        <v>43.09</v>
      </c>
      <c r="M44" s="11">
        <v>23.51</v>
      </c>
      <c r="N44" s="11">
        <v>43.39</v>
      </c>
      <c r="O44" s="11">
        <v>25.08</v>
      </c>
      <c r="P44" s="12">
        <v>43.69</v>
      </c>
      <c r="Q44" s="11">
        <v>26.71</v>
      </c>
      <c r="R44" s="11">
        <v>43.99</v>
      </c>
      <c r="S44" s="11">
        <v>28.41</v>
      </c>
      <c r="T44" s="11">
        <v>44.29</v>
      </c>
      <c r="U44" s="13">
        <v>30.19</v>
      </c>
      <c r="V44" s="1"/>
      <c r="W44" s="1"/>
      <c r="X44" s="1"/>
      <c r="Y44" s="1"/>
      <c r="Z44" s="1"/>
    </row>
    <row r="45" spans="1:26" ht="15.75" customHeight="1">
      <c r="A45" s="15">
        <v>38.6</v>
      </c>
      <c r="B45" s="16">
        <v>7.92</v>
      </c>
      <c r="C45" s="7">
        <v>38.9</v>
      </c>
      <c r="D45" s="16">
        <v>8.6</v>
      </c>
      <c r="E45" s="7">
        <v>39.200000000000003</v>
      </c>
      <c r="F45" s="16">
        <v>9.32</v>
      </c>
      <c r="G45" s="7">
        <v>39.5</v>
      </c>
      <c r="H45" s="16">
        <v>10.06</v>
      </c>
      <c r="I45" s="7">
        <v>39.799999999999997</v>
      </c>
      <c r="J45" s="17">
        <v>10.85</v>
      </c>
      <c r="K45" s="18"/>
      <c r="L45" s="15">
        <v>43.1</v>
      </c>
      <c r="M45" s="16">
        <v>23.56</v>
      </c>
      <c r="N45" s="7">
        <v>43.4</v>
      </c>
      <c r="O45" s="16">
        <v>25.13</v>
      </c>
      <c r="P45" s="7">
        <v>43.7</v>
      </c>
      <c r="Q45" s="16">
        <v>26.77</v>
      </c>
      <c r="R45" s="7">
        <v>44</v>
      </c>
      <c r="S45" s="16">
        <v>28.47</v>
      </c>
      <c r="T45" s="7">
        <v>44.3</v>
      </c>
      <c r="U45" s="17">
        <v>30.25</v>
      </c>
      <c r="V45" s="18"/>
      <c r="W45" s="18"/>
      <c r="X45" s="18"/>
      <c r="Y45" s="18"/>
      <c r="Z45" s="18"/>
    </row>
    <row r="46" spans="1:26" ht="15.75" customHeight="1">
      <c r="A46" s="10">
        <v>38.61</v>
      </c>
      <c r="B46" s="11">
        <v>7.94</v>
      </c>
      <c r="C46" s="11">
        <v>38.909999999999997</v>
      </c>
      <c r="D46" s="11">
        <v>8.6199999999999992</v>
      </c>
      <c r="E46" s="12">
        <v>39.21</v>
      </c>
      <c r="F46" s="11">
        <v>9.35</v>
      </c>
      <c r="G46" s="11">
        <v>39.51</v>
      </c>
      <c r="H46" s="11">
        <v>10.09</v>
      </c>
      <c r="I46" s="11">
        <v>39.81</v>
      </c>
      <c r="J46" s="13">
        <v>10.88</v>
      </c>
      <c r="K46" s="1"/>
      <c r="L46" s="10">
        <v>43.11</v>
      </c>
      <c r="M46" s="11">
        <v>23.61</v>
      </c>
      <c r="N46" s="11">
        <v>43.41</v>
      </c>
      <c r="O46" s="11">
        <v>25.18</v>
      </c>
      <c r="P46" s="12">
        <v>43.71</v>
      </c>
      <c r="Q46" s="11">
        <v>26.83</v>
      </c>
      <c r="R46" s="11">
        <v>44.01</v>
      </c>
      <c r="S46" s="11">
        <v>28.53</v>
      </c>
      <c r="T46" s="11">
        <v>44.31</v>
      </c>
      <c r="U46" s="13">
        <v>30.31</v>
      </c>
      <c r="V46" s="1"/>
      <c r="W46" s="1"/>
      <c r="X46" s="1"/>
      <c r="Y46" s="1"/>
      <c r="Z46" s="1"/>
    </row>
    <row r="47" spans="1:26" ht="15.75" customHeight="1">
      <c r="A47" s="14">
        <v>38.619999999999997</v>
      </c>
      <c r="B47" s="11">
        <v>7.96</v>
      </c>
      <c r="C47" s="12">
        <v>38.92</v>
      </c>
      <c r="D47" s="11">
        <v>8.65</v>
      </c>
      <c r="E47" s="12">
        <v>39.22</v>
      </c>
      <c r="F47" s="11">
        <v>9.3699999999999992</v>
      </c>
      <c r="G47" s="12">
        <v>39.520000000000003</v>
      </c>
      <c r="H47" s="11">
        <v>10.11</v>
      </c>
      <c r="I47" s="12">
        <v>39.82</v>
      </c>
      <c r="J47" s="13">
        <v>10.9</v>
      </c>
      <c r="K47" s="1"/>
      <c r="L47" s="14">
        <v>43.12</v>
      </c>
      <c r="M47" s="11">
        <v>23.66</v>
      </c>
      <c r="N47" s="12">
        <v>43.42</v>
      </c>
      <c r="O47" s="11">
        <v>25.24</v>
      </c>
      <c r="P47" s="12">
        <v>43.72</v>
      </c>
      <c r="Q47" s="11">
        <v>26.88</v>
      </c>
      <c r="R47" s="12">
        <v>44.02</v>
      </c>
      <c r="S47" s="11">
        <v>28.59</v>
      </c>
      <c r="T47" s="12">
        <v>44.32</v>
      </c>
      <c r="U47" s="13">
        <v>30.37</v>
      </c>
      <c r="V47" s="1"/>
      <c r="W47" s="1"/>
      <c r="X47" s="1"/>
      <c r="Y47" s="1"/>
      <c r="Z47" s="1"/>
    </row>
    <row r="48" spans="1:26" ht="15.75" customHeight="1">
      <c r="A48" s="10">
        <v>38.630000000000003</v>
      </c>
      <c r="B48" s="11">
        <v>7.99</v>
      </c>
      <c r="C48" s="11">
        <v>38.93</v>
      </c>
      <c r="D48" s="11">
        <v>8.67</v>
      </c>
      <c r="E48" s="12">
        <v>39.229999999999997</v>
      </c>
      <c r="F48" s="11">
        <v>9.4</v>
      </c>
      <c r="G48" s="11">
        <v>39.53</v>
      </c>
      <c r="H48" s="11">
        <v>10.14</v>
      </c>
      <c r="I48" s="11">
        <v>39.83</v>
      </c>
      <c r="J48" s="13">
        <v>10.93</v>
      </c>
      <c r="K48" s="1"/>
      <c r="L48" s="10">
        <v>43.13</v>
      </c>
      <c r="M48" s="11">
        <v>23.72</v>
      </c>
      <c r="N48" s="11">
        <v>43.43</v>
      </c>
      <c r="O48" s="11">
        <v>25.29</v>
      </c>
      <c r="P48" s="12">
        <v>43.73</v>
      </c>
      <c r="Q48" s="11">
        <v>26.94</v>
      </c>
      <c r="R48" s="11">
        <v>44.03</v>
      </c>
      <c r="S48" s="11">
        <v>28.65</v>
      </c>
      <c r="T48" s="11">
        <v>44.33</v>
      </c>
      <c r="U48" s="13">
        <v>30.43</v>
      </c>
      <c r="V48" s="1"/>
      <c r="W48" s="1"/>
      <c r="X48" s="1"/>
      <c r="Y48" s="1"/>
      <c r="Z48" s="1"/>
    </row>
    <row r="49" spans="1:26" ht="15.75" customHeight="1">
      <c r="A49" s="14">
        <v>38.64</v>
      </c>
      <c r="B49" s="11">
        <v>8.01</v>
      </c>
      <c r="C49" s="12">
        <v>38.94</v>
      </c>
      <c r="D49" s="11">
        <v>8.6999999999999993</v>
      </c>
      <c r="E49" s="12">
        <v>39.24</v>
      </c>
      <c r="F49" s="11">
        <v>9.42</v>
      </c>
      <c r="G49" s="12">
        <v>39.54</v>
      </c>
      <c r="H49" s="11">
        <v>10.16</v>
      </c>
      <c r="I49" s="12">
        <v>39.840000000000003</v>
      </c>
      <c r="J49" s="13">
        <v>10.95</v>
      </c>
      <c r="K49" s="1"/>
      <c r="L49" s="14">
        <v>43.14</v>
      </c>
      <c r="M49" s="11">
        <v>23.77</v>
      </c>
      <c r="N49" s="12">
        <v>43.44</v>
      </c>
      <c r="O49" s="11">
        <v>25.35</v>
      </c>
      <c r="P49" s="12">
        <v>43.74</v>
      </c>
      <c r="Q49" s="11">
        <v>26.99</v>
      </c>
      <c r="R49" s="12">
        <v>44.04</v>
      </c>
      <c r="S49" s="11">
        <v>28.71</v>
      </c>
      <c r="T49" s="12">
        <v>44.34</v>
      </c>
      <c r="U49" s="13">
        <v>30.49</v>
      </c>
      <c r="V49" s="1"/>
      <c r="W49" s="1"/>
      <c r="X49" s="1"/>
      <c r="Y49" s="1"/>
      <c r="Z49" s="1"/>
    </row>
    <row r="50" spans="1:26" ht="15.75" customHeight="1">
      <c r="A50" s="10">
        <v>38.65</v>
      </c>
      <c r="B50" s="11">
        <v>8.0299999999999994</v>
      </c>
      <c r="C50" s="11">
        <v>38.950000000000003</v>
      </c>
      <c r="D50" s="11">
        <v>8.7200000000000006</v>
      </c>
      <c r="E50" s="12">
        <v>39.25</v>
      </c>
      <c r="F50" s="11">
        <v>9.44</v>
      </c>
      <c r="G50" s="11">
        <v>39.549999999999997</v>
      </c>
      <c r="H50" s="11">
        <v>10.19</v>
      </c>
      <c r="I50" s="11">
        <v>39.85</v>
      </c>
      <c r="J50" s="13">
        <v>10.98</v>
      </c>
      <c r="K50" s="1"/>
      <c r="L50" s="10">
        <v>43.15</v>
      </c>
      <c r="M50" s="11">
        <v>23.81</v>
      </c>
      <c r="N50" s="11">
        <v>43.45</v>
      </c>
      <c r="O50" s="11">
        <v>25.4</v>
      </c>
      <c r="P50" s="12">
        <v>43.75</v>
      </c>
      <c r="Q50" s="11">
        <v>27.05</v>
      </c>
      <c r="R50" s="11">
        <v>44.05</v>
      </c>
      <c r="S50" s="11">
        <v>28.77</v>
      </c>
      <c r="T50" s="11">
        <v>44.35</v>
      </c>
      <c r="U50" s="13">
        <v>30.56</v>
      </c>
      <c r="V50" s="1"/>
      <c r="W50" s="1"/>
      <c r="X50" s="1"/>
      <c r="Y50" s="1"/>
      <c r="Z50" s="1"/>
    </row>
    <row r="51" spans="1:26" ht="15.75" customHeight="1">
      <c r="A51" s="14">
        <v>38.659999999999997</v>
      </c>
      <c r="B51" s="11">
        <v>8.0500000000000007</v>
      </c>
      <c r="C51" s="12">
        <v>38.96</v>
      </c>
      <c r="D51" s="11">
        <v>8.74</v>
      </c>
      <c r="E51" s="12">
        <v>39.26</v>
      </c>
      <c r="F51" s="11">
        <v>9.4700000000000006</v>
      </c>
      <c r="G51" s="12">
        <v>39.56</v>
      </c>
      <c r="H51" s="11">
        <v>10.210000000000001</v>
      </c>
      <c r="I51" s="12">
        <v>39.86</v>
      </c>
      <c r="J51" s="13">
        <v>11.01</v>
      </c>
      <c r="K51" s="1"/>
      <c r="L51" s="14">
        <v>43.16</v>
      </c>
      <c r="M51" s="11">
        <v>23.87</v>
      </c>
      <c r="N51" s="12">
        <v>43.46</v>
      </c>
      <c r="O51" s="11">
        <v>25.45</v>
      </c>
      <c r="P51" s="12">
        <v>43.76</v>
      </c>
      <c r="Q51" s="11">
        <v>27.11</v>
      </c>
      <c r="R51" s="12">
        <v>44.06</v>
      </c>
      <c r="S51" s="11">
        <v>28.82</v>
      </c>
      <c r="T51" s="12">
        <v>44.36</v>
      </c>
      <c r="U51" s="13">
        <v>30.62</v>
      </c>
      <c r="V51" s="1"/>
      <c r="W51" s="1"/>
      <c r="X51" s="1"/>
      <c r="Y51" s="1"/>
      <c r="Z51" s="1"/>
    </row>
    <row r="52" spans="1:26" ht="15.75" customHeight="1">
      <c r="A52" s="10">
        <v>38.67</v>
      </c>
      <c r="B52" s="11">
        <v>8.07</v>
      </c>
      <c r="C52" s="11">
        <v>38.97</v>
      </c>
      <c r="D52" s="11">
        <v>8.77</v>
      </c>
      <c r="E52" s="12">
        <v>39.270000000000003</v>
      </c>
      <c r="F52" s="11">
        <v>9.5</v>
      </c>
      <c r="G52" s="11">
        <v>39.57</v>
      </c>
      <c r="H52" s="11">
        <v>10.24</v>
      </c>
      <c r="I52" s="11">
        <v>39.869999999999997</v>
      </c>
      <c r="J52" s="13">
        <v>11.03</v>
      </c>
      <c r="K52" s="1"/>
      <c r="L52" s="10">
        <v>43.17</v>
      </c>
      <c r="M52" s="11">
        <v>23.92</v>
      </c>
      <c r="N52" s="11">
        <v>43.47</v>
      </c>
      <c r="O52" s="11">
        <v>25.51</v>
      </c>
      <c r="P52" s="12">
        <v>43.77</v>
      </c>
      <c r="Q52" s="11">
        <v>27.16</v>
      </c>
      <c r="R52" s="11">
        <v>44.07</v>
      </c>
      <c r="S52" s="11">
        <v>28.88</v>
      </c>
      <c r="T52" s="11">
        <v>44.37</v>
      </c>
      <c r="U52" s="13">
        <v>30.68</v>
      </c>
      <c r="V52" s="1"/>
      <c r="W52" s="1"/>
      <c r="X52" s="1"/>
      <c r="Y52" s="1"/>
      <c r="Z52" s="1"/>
    </row>
    <row r="53" spans="1:26" ht="15.75" customHeight="1">
      <c r="A53" s="14">
        <v>38.68</v>
      </c>
      <c r="B53" s="11">
        <v>8.1</v>
      </c>
      <c r="C53" s="12">
        <v>38.979999999999997</v>
      </c>
      <c r="D53" s="11">
        <v>8.7899999999999991</v>
      </c>
      <c r="E53" s="12">
        <v>39.28</v>
      </c>
      <c r="F53" s="11">
        <v>9.52</v>
      </c>
      <c r="G53" s="12">
        <v>39.58</v>
      </c>
      <c r="H53" s="11">
        <v>10.27</v>
      </c>
      <c r="I53" s="12">
        <v>39.880000000000003</v>
      </c>
      <c r="J53" s="13">
        <v>11.06</v>
      </c>
      <c r="K53" s="1"/>
      <c r="L53" s="14">
        <v>43.18</v>
      </c>
      <c r="M53" s="11">
        <v>23.98</v>
      </c>
      <c r="N53" s="12">
        <v>43.48</v>
      </c>
      <c r="O53" s="11">
        <v>25.56</v>
      </c>
      <c r="P53" s="12">
        <v>43.78</v>
      </c>
      <c r="Q53" s="11">
        <v>27.22</v>
      </c>
      <c r="R53" s="12">
        <v>44.08</v>
      </c>
      <c r="S53" s="11">
        <v>28.94</v>
      </c>
      <c r="T53" s="12">
        <v>44.38</v>
      </c>
      <c r="U53" s="13">
        <v>30.74</v>
      </c>
      <c r="V53" s="1"/>
      <c r="W53" s="1"/>
      <c r="X53" s="1"/>
      <c r="Y53" s="1"/>
      <c r="Z53" s="1"/>
    </row>
    <row r="54" spans="1:26" ht="15.75" customHeight="1">
      <c r="A54" s="10">
        <v>38.69</v>
      </c>
      <c r="B54" s="11">
        <v>8.1199999999999992</v>
      </c>
      <c r="C54" s="11">
        <v>38.99</v>
      </c>
      <c r="D54" s="11">
        <v>8.82</v>
      </c>
      <c r="E54" s="12">
        <v>39.29</v>
      </c>
      <c r="F54" s="11">
        <v>9.5500000000000007</v>
      </c>
      <c r="G54" s="11">
        <v>39.590000000000003</v>
      </c>
      <c r="H54" s="11">
        <v>20.29</v>
      </c>
      <c r="I54" s="11">
        <v>39.89</v>
      </c>
      <c r="J54" s="13">
        <v>11.08</v>
      </c>
      <c r="K54" s="1"/>
      <c r="L54" s="10">
        <v>43.19</v>
      </c>
      <c r="M54" s="11">
        <v>24.03</v>
      </c>
      <c r="N54" s="11">
        <v>43.49</v>
      </c>
      <c r="O54" s="11">
        <v>25.62</v>
      </c>
      <c r="P54" s="12">
        <v>43.79</v>
      </c>
      <c r="Q54" s="11">
        <v>27.27</v>
      </c>
      <c r="R54" s="11">
        <v>44.09</v>
      </c>
      <c r="S54" s="11">
        <v>29</v>
      </c>
      <c r="T54" s="11">
        <v>44.39</v>
      </c>
      <c r="U54" s="13">
        <v>30.8</v>
      </c>
      <c r="V54" s="1"/>
      <c r="W54" s="1"/>
      <c r="X54" s="1"/>
      <c r="Y54" s="1"/>
      <c r="Z54" s="1"/>
    </row>
    <row r="55" spans="1:26" ht="15.75" customHeight="1">
      <c r="A55" s="15">
        <v>38.700000000000003</v>
      </c>
      <c r="B55" s="16">
        <v>8.14</v>
      </c>
      <c r="C55" s="7">
        <v>39</v>
      </c>
      <c r="D55" s="16">
        <v>8.84</v>
      </c>
      <c r="E55" s="7">
        <v>39.299999999999997</v>
      </c>
      <c r="F55" s="16">
        <v>9.56</v>
      </c>
      <c r="G55" s="7">
        <v>39.6</v>
      </c>
      <c r="H55" s="16">
        <v>10.32</v>
      </c>
      <c r="I55" s="7">
        <v>39.9</v>
      </c>
      <c r="J55" s="17">
        <v>11.11</v>
      </c>
      <c r="K55" s="18"/>
      <c r="L55" s="15">
        <v>43.2</v>
      </c>
      <c r="M55" s="16">
        <v>24.08</v>
      </c>
      <c r="N55" s="7">
        <v>43.5</v>
      </c>
      <c r="O55" s="16">
        <v>25.67</v>
      </c>
      <c r="P55" s="7">
        <v>43.8</v>
      </c>
      <c r="Q55" s="16">
        <v>27.33</v>
      </c>
      <c r="R55" s="7">
        <v>44.1</v>
      </c>
      <c r="S55" s="16">
        <v>29.06</v>
      </c>
      <c r="T55" s="7">
        <v>44.4</v>
      </c>
      <c r="U55" s="17">
        <v>30.86</v>
      </c>
      <c r="V55" s="18"/>
      <c r="W55" s="18"/>
      <c r="X55" s="18"/>
      <c r="Y55" s="18"/>
      <c r="Z55" s="18"/>
    </row>
    <row r="56" spans="1:26" ht="15.75" customHeight="1">
      <c r="A56" s="10">
        <v>38.71</v>
      </c>
      <c r="B56" s="11">
        <v>8.16</v>
      </c>
      <c r="C56" s="11">
        <v>39.01</v>
      </c>
      <c r="D56" s="11">
        <v>8.86</v>
      </c>
      <c r="E56" s="12">
        <v>39.31</v>
      </c>
      <c r="F56" s="11">
        <v>9.59</v>
      </c>
      <c r="G56" s="11">
        <v>39.61</v>
      </c>
      <c r="H56" s="11">
        <v>10.35</v>
      </c>
      <c r="I56" s="11">
        <v>39.909999999999997</v>
      </c>
      <c r="J56" s="13">
        <v>11.14</v>
      </c>
      <c r="K56" s="1"/>
      <c r="L56" s="10">
        <v>43.21</v>
      </c>
      <c r="M56" s="11">
        <v>24.13</v>
      </c>
      <c r="N56" s="11">
        <v>43.51</v>
      </c>
      <c r="O56" s="11">
        <v>25.72</v>
      </c>
      <c r="P56" s="12">
        <v>43.81</v>
      </c>
      <c r="Q56" s="11">
        <v>27.39</v>
      </c>
      <c r="R56" s="11">
        <v>44.11</v>
      </c>
      <c r="S56" s="11">
        <v>29.12</v>
      </c>
      <c r="T56" s="11">
        <v>44.41</v>
      </c>
      <c r="U56" s="13">
        <v>30.92</v>
      </c>
      <c r="V56" s="1"/>
      <c r="W56" s="1"/>
      <c r="X56" s="1"/>
      <c r="Y56" s="1"/>
      <c r="Z56" s="1"/>
    </row>
    <row r="57" spans="1:26" ht="15.75" customHeight="1">
      <c r="A57" s="14">
        <v>38.72</v>
      </c>
      <c r="B57" s="11">
        <v>8.19</v>
      </c>
      <c r="C57" s="12">
        <v>39.020000000000003</v>
      </c>
      <c r="D57" s="11">
        <v>8.89</v>
      </c>
      <c r="E57" s="12">
        <v>39.32</v>
      </c>
      <c r="F57" s="11">
        <v>9.61</v>
      </c>
      <c r="G57" s="12">
        <v>39.619999999999997</v>
      </c>
      <c r="H57" s="11">
        <v>10.37</v>
      </c>
      <c r="I57" s="12">
        <v>39.92</v>
      </c>
      <c r="J57" s="13">
        <v>11.17</v>
      </c>
      <c r="K57" s="1"/>
      <c r="L57" s="14">
        <v>43.22</v>
      </c>
      <c r="M57" s="11">
        <v>24.18</v>
      </c>
      <c r="N57" s="12">
        <v>43.52</v>
      </c>
      <c r="O57" s="11">
        <v>25.78</v>
      </c>
      <c r="P57" s="12">
        <v>43.82</v>
      </c>
      <c r="Q57" s="11">
        <v>27.44</v>
      </c>
      <c r="R57" s="12">
        <v>44.12</v>
      </c>
      <c r="S57" s="11">
        <v>29.18</v>
      </c>
      <c r="T57" s="12">
        <v>44.42</v>
      </c>
      <c r="U57" s="13">
        <v>30.98</v>
      </c>
      <c r="V57" s="1"/>
      <c r="W57" s="1"/>
      <c r="X57" s="1"/>
      <c r="Y57" s="1"/>
      <c r="Z57" s="1"/>
    </row>
    <row r="58" spans="1:26" ht="15.75" customHeight="1">
      <c r="A58" s="10">
        <v>38.729999999999997</v>
      </c>
      <c r="B58" s="11">
        <v>8.2100000000000009</v>
      </c>
      <c r="C58" s="11">
        <v>39.03</v>
      </c>
      <c r="D58" s="11">
        <v>8.91</v>
      </c>
      <c r="E58" s="12">
        <v>39.33</v>
      </c>
      <c r="F58" s="11">
        <v>9.64</v>
      </c>
      <c r="G58" s="11">
        <v>39.630000000000003</v>
      </c>
      <c r="H58" s="11">
        <v>10.4</v>
      </c>
      <c r="I58" s="11">
        <v>39.93</v>
      </c>
      <c r="J58" s="13">
        <v>11.19</v>
      </c>
      <c r="K58" s="1"/>
      <c r="L58" s="10">
        <v>43.23</v>
      </c>
      <c r="M58" s="11">
        <v>24.24</v>
      </c>
      <c r="N58" s="11">
        <v>43.53</v>
      </c>
      <c r="O58" s="11">
        <v>25.83</v>
      </c>
      <c r="P58" s="12">
        <v>43.83</v>
      </c>
      <c r="Q58" s="11">
        <v>27.5</v>
      </c>
      <c r="R58" s="11">
        <v>44.13</v>
      </c>
      <c r="S58" s="11">
        <v>29.24</v>
      </c>
      <c r="T58" s="11">
        <v>44.43</v>
      </c>
      <c r="U58" s="13">
        <v>31.04</v>
      </c>
      <c r="V58" s="1"/>
      <c r="W58" s="1"/>
      <c r="X58" s="1"/>
      <c r="Y58" s="1"/>
      <c r="Z58" s="1"/>
    </row>
    <row r="59" spans="1:26" ht="15.75" customHeight="1">
      <c r="A59" s="14">
        <v>38.74</v>
      </c>
      <c r="B59" s="11">
        <v>8.23</v>
      </c>
      <c r="C59" s="12">
        <v>39.04</v>
      </c>
      <c r="D59" s="11">
        <v>8.93</v>
      </c>
      <c r="E59" s="12">
        <v>39.340000000000003</v>
      </c>
      <c r="F59" s="11">
        <v>9.66</v>
      </c>
      <c r="G59" s="12">
        <v>39.64</v>
      </c>
      <c r="H59" s="11">
        <v>10.42</v>
      </c>
      <c r="I59" s="12">
        <v>39.94</v>
      </c>
      <c r="J59" s="13">
        <v>11.22</v>
      </c>
      <c r="K59" s="1"/>
      <c r="L59" s="14">
        <v>43.24</v>
      </c>
      <c r="M59" s="11">
        <v>24.29</v>
      </c>
      <c r="N59" s="12">
        <v>43.54</v>
      </c>
      <c r="O59" s="11">
        <v>25.89</v>
      </c>
      <c r="P59" s="12">
        <v>43.84</v>
      </c>
      <c r="Q59" s="11">
        <v>27.56</v>
      </c>
      <c r="R59" s="12">
        <v>44.14</v>
      </c>
      <c r="S59" s="11">
        <v>29.3</v>
      </c>
      <c r="T59" s="12">
        <v>44.44</v>
      </c>
      <c r="U59" s="13">
        <v>31.1</v>
      </c>
      <c r="V59" s="1"/>
      <c r="W59" s="1"/>
      <c r="X59" s="1"/>
      <c r="Y59" s="1"/>
      <c r="Z59" s="1"/>
    </row>
    <row r="60" spans="1:26" ht="15.75" customHeight="1">
      <c r="A60" s="10">
        <v>38.75</v>
      </c>
      <c r="B60" s="11">
        <v>8.26</v>
      </c>
      <c r="C60" s="11">
        <v>39.049999999999997</v>
      </c>
      <c r="D60" s="11">
        <v>8.9600000000000009</v>
      </c>
      <c r="E60" s="12">
        <v>39.35</v>
      </c>
      <c r="F60" s="11">
        <v>9.69</v>
      </c>
      <c r="G60" s="11">
        <v>39.65</v>
      </c>
      <c r="H60" s="11">
        <v>10.45</v>
      </c>
      <c r="I60" s="11">
        <v>39.950000000000003</v>
      </c>
      <c r="J60" s="13">
        <v>11.25</v>
      </c>
      <c r="K60" s="1"/>
      <c r="L60" s="10">
        <v>43.25</v>
      </c>
      <c r="M60" s="11">
        <v>24.34</v>
      </c>
      <c r="N60" s="11">
        <v>43.55</v>
      </c>
      <c r="O60" s="11">
        <v>25.94</v>
      </c>
      <c r="P60" s="12">
        <v>43.85</v>
      </c>
      <c r="Q60" s="11">
        <v>27.62</v>
      </c>
      <c r="R60" s="11">
        <v>44.15</v>
      </c>
      <c r="S60" s="11">
        <v>29.36</v>
      </c>
      <c r="T60" s="11">
        <v>44.45</v>
      </c>
      <c r="U60" s="13">
        <v>31.17</v>
      </c>
      <c r="V60" s="1"/>
      <c r="W60" s="1"/>
      <c r="X60" s="1"/>
      <c r="Y60" s="1"/>
      <c r="Z60" s="1"/>
    </row>
    <row r="61" spans="1:26" ht="15.75" customHeight="1">
      <c r="A61" s="14">
        <v>38.76</v>
      </c>
      <c r="B61" s="11">
        <v>8.2799999999999994</v>
      </c>
      <c r="C61" s="12">
        <v>39.06</v>
      </c>
      <c r="D61" s="11">
        <v>8.98</v>
      </c>
      <c r="E61" s="12">
        <v>39.36</v>
      </c>
      <c r="F61" s="11">
        <v>9.7100000000000009</v>
      </c>
      <c r="G61" s="12">
        <v>39.659999999999997</v>
      </c>
      <c r="H61" s="11">
        <v>10.48</v>
      </c>
      <c r="I61" s="12">
        <v>39.96</v>
      </c>
      <c r="J61" s="13">
        <v>11.28</v>
      </c>
      <c r="K61" s="1"/>
      <c r="L61" s="14">
        <v>43.26</v>
      </c>
      <c r="M61" s="11">
        <v>24.39</v>
      </c>
      <c r="N61" s="12">
        <v>43.56</v>
      </c>
      <c r="O61" s="11">
        <v>25.99</v>
      </c>
      <c r="P61" s="12">
        <v>43.86</v>
      </c>
      <c r="Q61" s="11">
        <v>27.67</v>
      </c>
      <c r="R61" s="12">
        <v>44.16</v>
      </c>
      <c r="S61" s="11">
        <v>29.41</v>
      </c>
      <c r="T61" s="12">
        <v>44.46</v>
      </c>
      <c r="U61" s="13">
        <v>31.23</v>
      </c>
      <c r="V61" s="1"/>
      <c r="W61" s="1"/>
      <c r="X61" s="1"/>
      <c r="Y61" s="1"/>
      <c r="Z61" s="1"/>
    </row>
    <row r="62" spans="1:26" ht="15.75" customHeight="1">
      <c r="A62" s="10">
        <v>38.770000000000003</v>
      </c>
      <c r="B62" s="11">
        <v>8.3000000000000007</v>
      </c>
      <c r="C62" s="11">
        <v>39.07</v>
      </c>
      <c r="D62" s="11">
        <v>9</v>
      </c>
      <c r="E62" s="12">
        <v>39.369999999999997</v>
      </c>
      <c r="F62" s="11">
        <v>9.74</v>
      </c>
      <c r="G62" s="11">
        <v>39.67</v>
      </c>
      <c r="H62" s="11">
        <v>10.5</v>
      </c>
      <c r="I62" s="11">
        <v>39.97</v>
      </c>
      <c r="J62" s="13">
        <v>11.31</v>
      </c>
      <c r="K62" s="1"/>
      <c r="L62" s="10">
        <v>43.27</v>
      </c>
      <c r="M62" s="11">
        <v>24.44</v>
      </c>
      <c r="N62" s="11">
        <v>43.57</v>
      </c>
      <c r="O62" s="11">
        <v>26.05</v>
      </c>
      <c r="P62" s="12">
        <v>43.87</v>
      </c>
      <c r="Q62" s="11">
        <v>27.73</v>
      </c>
      <c r="R62" s="11">
        <v>44.17</v>
      </c>
      <c r="S62" s="11">
        <v>29.47</v>
      </c>
      <c r="T62" s="11">
        <v>44.47</v>
      </c>
      <c r="U62" s="13">
        <v>31.29</v>
      </c>
      <c r="V62" s="1"/>
      <c r="W62" s="1"/>
      <c r="X62" s="1"/>
      <c r="Y62" s="1"/>
      <c r="Z62" s="1"/>
    </row>
    <row r="63" spans="1:26" ht="15.75" customHeight="1">
      <c r="A63" s="14">
        <v>38.78</v>
      </c>
      <c r="B63" s="11">
        <v>8.32</v>
      </c>
      <c r="C63" s="12">
        <v>39.08</v>
      </c>
      <c r="D63" s="11">
        <v>9.02</v>
      </c>
      <c r="E63" s="12">
        <v>39.380000000000003</v>
      </c>
      <c r="F63" s="11">
        <v>9.76</v>
      </c>
      <c r="G63" s="12">
        <v>39.68</v>
      </c>
      <c r="H63" s="11">
        <v>10.53</v>
      </c>
      <c r="I63" s="12">
        <v>39.979999999999997</v>
      </c>
      <c r="J63" s="13">
        <v>11.33</v>
      </c>
      <c r="K63" s="1"/>
      <c r="L63" s="14">
        <v>43.28</v>
      </c>
      <c r="M63" s="11">
        <v>24.5</v>
      </c>
      <c r="N63" s="12">
        <v>43.58</v>
      </c>
      <c r="O63" s="11">
        <v>26.1</v>
      </c>
      <c r="P63" s="12">
        <v>43.88</v>
      </c>
      <c r="Q63" s="11">
        <v>27.79</v>
      </c>
      <c r="R63" s="12">
        <v>44.18</v>
      </c>
      <c r="S63" s="11">
        <v>29.53</v>
      </c>
      <c r="T63" s="12">
        <v>44.48</v>
      </c>
      <c r="U63" s="13">
        <v>31.35</v>
      </c>
      <c r="V63" s="1"/>
      <c r="W63" s="1"/>
      <c r="X63" s="1"/>
      <c r="Y63" s="1"/>
      <c r="Z63" s="1"/>
    </row>
    <row r="64" spans="1:26" ht="16.5" customHeight="1">
      <c r="A64" s="19">
        <v>38.79</v>
      </c>
      <c r="B64" s="20">
        <v>8.35</v>
      </c>
      <c r="C64" s="20">
        <v>39.090000000000003</v>
      </c>
      <c r="D64" s="20">
        <v>9.0500000000000007</v>
      </c>
      <c r="E64" s="20">
        <v>39.39</v>
      </c>
      <c r="F64" s="20">
        <v>9.7899999999999991</v>
      </c>
      <c r="G64" s="20">
        <v>39.69</v>
      </c>
      <c r="H64" s="20">
        <v>10.55</v>
      </c>
      <c r="I64" s="20">
        <v>39.99</v>
      </c>
      <c r="J64" s="21">
        <v>11.36</v>
      </c>
      <c r="K64" s="1"/>
      <c r="L64" s="19">
        <v>43.29</v>
      </c>
      <c r="M64" s="20">
        <v>24.55</v>
      </c>
      <c r="N64" s="20">
        <v>43.59</v>
      </c>
      <c r="O64" s="20">
        <v>26.16</v>
      </c>
      <c r="P64" s="20">
        <v>43.89</v>
      </c>
      <c r="Q64" s="20">
        <v>27.84</v>
      </c>
      <c r="R64" s="20">
        <v>44.19</v>
      </c>
      <c r="S64" s="20">
        <v>29.59</v>
      </c>
      <c r="T64" s="20">
        <v>44.49</v>
      </c>
      <c r="U64" s="21">
        <v>31.41</v>
      </c>
      <c r="V64" s="1"/>
      <c r="W64" s="1"/>
      <c r="X64" s="1"/>
      <c r="Y64" s="1"/>
      <c r="Z64" s="1"/>
    </row>
    <row r="65" spans="1:26" ht="16.5" customHeight="1">
      <c r="A65" s="2"/>
      <c r="B65" s="22"/>
      <c r="C65" s="2"/>
      <c r="D65" s="22"/>
      <c r="E65" s="2"/>
      <c r="F65" s="22"/>
      <c r="G65" s="2"/>
      <c r="H65" s="22"/>
      <c r="I65" s="2"/>
      <c r="J65" s="22"/>
      <c r="K65" s="1"/>
      <c r="L65" s="2"/>
      <c r="M65" s="2"/>
      <c r="N65" s="1"/>
      <c r="O65" s="3"/>
      <c r="P65" s="1"/>
      <c r="Q65" s="3"/>
      <c r="R65" s="1"/>
      <c r="S65" s="3"/>
      <c r="T65" s="1"/>
      <c r="U65" s="3"/>
      <c r="V65" s="1"/>
      <c r="W65" s="1"/>
      <c r="X65" s="1"/>
      <c r="Y65" s="1"/>
      <c r="Z65" s="1"/>
    </row>
    <row r="66" spans="1:26" ht="33.75" customHeight="1">
      <c r="A66" s="4" t="s">
        <v>1</v>
      </c>
      <c r="B66" s="5" t="s">
        <v>22</v>
      </c>
      <c r="C66" s="5" t="s">
        <v>1</v>
      </c>
      <c r="D66" s="5" t="s">
        <v>23</v>
      </c>
      <c r="E66" s="5" t="s">
        <v>1</v>
      </c>
      <c r="F66" s="5" t="s">
        <v>24</v>
      </c>
      <c r="G66" s="5" t="s">
        <v>1</v>
      </c>
      <c r="H66" s="5" t="s">
        <v>25</v>
      </c>
      <c r="I66" s="5" t="s">
        <v>1</v>
      </c>
      <c r="J66" s="5" t="s">
        <v>26</v>
      </c>
      <c r="K66" s="1"/>
      <c r="L66" s="4" t="s">
        <v>1</v>
      </c>
      <c r="M66" s="5" t="s">
        <v>27</v>
      </c>
      <c r="N66" s="5" t="s">
        <v>1</v>
      </c>
      <c r="O66" s="5" t="s">
        <v>28</v>
      </c>
      <c r="P66" s="5" t="s">
        <v>1</v>
      </c>
      <c r="Q66" s="5" t="s">
        <v>29</v>
      </c>
      <c r="R66" s="5" t="s">
        <v>1</v>
      </c>
      <c r="S66" s="5" t="s">
        <v>30</v>
      </c>
      <c r="T66" s="5" t="s">
        <v>1</v>
      </c>
      <c r="U66" s="5" t="s">
        <v>31</v>
      </c>
      <c r="V66" s="1"/>
      <c r="W66" s="1"/>
      <c r="X66" s="1"/>
      <c r="Y66" s="1"/>
      <c r="Z66" s="1"/>
    </row>
    <row r="67" spans="1:26" ht="16.5" customHeight="1">
      <c r="A67" s="6">
        <v>40</v>
      </c>
      <c r="B67" s="7">
        <v>11.39</v>
      </c>
      <c r="C67" s="7">
        <v>40.299999999999997</v>
      </c>
      <c r="D67" s="7">
        <v>12.24</v>
      </c>
      <c r="E67" s="7">
        <v>40.6</v>
      </c>
      <c r="F67" s="7">
        <v>13.17</v>
      </c>
      <c r="G67" s="7">
        <v>40.9</v>
      </c>
      <c r="H67" s="7">
        <v>14.16</v>
      </c>
      <c r="I67" s="7">
        <v>41.2</v>
      </c>
      <c r="J67" s="8">
        <v>15.23</v>
      </c>
      <c r="K67" s="9"/>
      <c r="L67" s="6">
        <v>44.5</v>
      </c>
      <c r="M67" s="7">
        <v>31.47</v>
      </c>
      <c r="N67" s="7">
        <v>44.8</v>
      </c>
      <c r="O67" s="7">
        <v>33.36</v>
      </c>
      <c r="P67" s="7">
        <v>45.1</v>
      </c>
      <c r="Q67" s="7">
        <v>35.32</v>
      </c>
      <c r="R67" s="7"/>
      <c r="S67" s="7"/>
      <c r="T67" s="7"/>
      <c r="U67" s="8"/>
      <c r="V67" s="9"/>
      <c r="W67" s="9"/>
      <c r="X67" s="9"/>
      <c r="Y67" s="9"/>
      <c r="Z67" s="9"/>
    </row>
    <row r="68" spans="1:26" ht="15.75" customHeight="1">
      <c r="A68" s="10">
        <v>40.01</v>
      </c>
      <c r="B68" s="11">
        <v>11.42</v>
      </c>
      <c r="C68" s="11">
        <v>40.31</v>
      </c>
      <c r="D68" s="11">
        <v>12.27</v>
      </c>
      <c r="E68" s="12">
        <v>40.61</v>
      </c>
      <c r="F68" s="11">
        <v>13.2</v>
      </c>
      <c r="G68" s="11">
        <v>40.909999999999997</v>
      </c>
      <c r="H68" s="11">
        <v>14.19</v>
      </c>
      <c r="I68" s="11">
        <v>41.21</v>
      </c>
      <c r="J68" s="13">
        <v>15.27</v>
      </c>
      <c r="K68" s="1"/>
      <c r="L68" s="10">
        <v>44.51</v>
      </c>
      <c r="M68" s="11">
        <v>31.53</v>
      </c>
      <c r="N68" s="11">
        <v>44.81</v>
      </c>
      <c r="O68" s="11">
        <v>33.43</v>
      </c>
      <c r="P68" s="12"/>
      <c r="Q68" s="11"/>
      <c r="R68" s="11"/>
      <c r="S68" s="11"/>
      <c r="T68" s="11"/>
      <c r="U68" s="13"/>
      <c r="V68" s="1"/>
      <c r="W68" s="1"/>
      <c r="X68" s="1"/>
      <c r="Y68" s="1"/>
      <c r="Z68" s="1"/>
    </row>
    <row r="69" spans="1:26" ht="15.75" customHeight="1">
      <c r="A69" s="14">
        <v>40.020000000000003</v>
      </c>
      <c r="B69" s="11">
        <v>11.44</v>
      </c>
      <c r="C69" s="12">
        <v>40.32</v>
      </c>
      <c r="D69" s="11">
        <v>12.3</v>
      </c>
      <c r="E69" s="12">
        <v>40.619999999999997</v>
      </c>
      <c r="F69" s="11">
        <v>13.23</v>
      </c>
      <c r="G69" s="12">
        <v>40.92</v>
      </c>
      <c r="H69" s="11">
        <v>14.23</v>
      </c>
      <c r="I69" s="12">
        <v>41.22</v>
      </c>
      <c r="J69" s="13">
        <v>15.3</v>
      </c>
      <c r="K69" s="1"/>
      <c r="L69" s="14">
        <v>44.52</v>
      </c>
      <c r="M69" s="11">
        <v>31.59</v>
      </c>
      <c r="N69" s="12">
        <v>44.82</v>
      </c>
      <c r="O69" s="11">
        <v>33.49</v>
      </c>
      <c r="P69" s="12"/>
      <c r="Q69" s="11"/>
      <c r="R69" s="12"/>
      <c r="S69" s="11"/>
      <c r="T69" s="12"/>
      <c r="U69" s="13"/>
      <c r="V69" s="1"/>
      <c r="W69" s="1"/>
      <c r="X69" s="1"/>
      <c r="Y69" s="1"/>
      <c r="Z69" s="1"/>
    </row>
    <row r="70" spans="1:26" ht="15.75" customHeight="1">
      <c r="A70" s="10">
        <v>40.03</v>
      </c>
      <c r="B70" s="11">
        <v>11.47</v>
      </c>
      <c r="C70" s="11">
        <v>40.33</v>
      </c>
      <c r="D70" s="11">
        <v>12.33</v>
      </c>
      <c r="E70" s="12">
        <v>40.630000000000003</v>
      </c>
      <c r="F70" s="11">
        <v>13.27</v>
      </c>
      <c r="G70" s="11">
        <v>40.93</v>
      </c>
      <c r="H70" s="11">
        <v>14.26</v>
      </c>
      <c r="I70" s="11">
        <v>41.23</v>
      </c>
      <c r="J70" s="13">
        <v>15.34</v>
      </c>
      <c r="K70" s="1"/>
      <c r="L70" s="10">
        <v>44.53</v>
      </c>
      <c r="M70" s="11">
        <v>31.66</v>
      </c>
      <c r="N70" s="11">
        <v>44.83</v>
      </c>
      <c r="O70" s="11">
        <v>33.56</v>
      </c>
      <c r="P70" s="12"/>
      <c r="Q70" s="11"/>
      <c r="R70" s="11"/>
      <c r="S70" s="11"/>
      <c r="T70" s="11"/>
      <c r="U70" s="13"/>
      <c r="V70" s="1"/>
      <c r="W70" s="1"/>
      <c r="X70" s="1"/>
      <c r="Y70" s="1"/>
      <c r="Z70" s="1"/>
    </row>
    <row r="71" spans="1:26" ht="15.75" customHeight="1">
      <c r="A71" s="14">
        <v>40.04</v>
      </c>
      <c r="B71" s="11">
        <v>11.5</v>
      </c>
      <c r="C71" s="12">
        <v>40.340000000000003</v>
      </c>
      <c r="D71" s="11">
        <v>12.36</v>
      </c>
      <c r="E71" s="12">
        <v>40.64</v>
      </c>
      <c r="F71" s="11">
        <v>13.3</v>
      </c>
      <c r="G71" s="12">
        <v>40.94</v>
      </c>
      <c r="H71" s="11">
        <v>14.3</v>
      </c>
      <c r="I71" s="12">
        <v>41.24</v>
      </c>
      <c r="J71" s="13">
        <v>15.38</v>
      </c>
      <c r="K71" s="1"/>
      <c r="L71" s="14">
        <v>44.54</v>
      </c>
      <c r="M71" s="11">
        <v>31.72</v>
      </c>
      <c r="N71" s="12">
        <v>44.84</v>
      </c>
      <c r="O71" s="11">
        <v>33.619999999999997</v>
      </c>
      <c r="P71" s="12"/>
      <c r="Q71" s="11"/>
      <c r="R71" s="12"/>
      <c r="S71" s="11"/>
      <c r="T71" s="12"/>
      <c r="U71" s="13"/>
      <c r="V71" s="1"/>
      <c r="W71" s="1"/>
      <c r="X71" s="1"/>
      <c r="Y71" s="1"/>
      <c r="Z71" s="1"/>
    </row>
    <row r="72" spans="1:26" ht="15.75" customHeight="1">
      <c r="A72" s="10">
        <v>40.049999999999997</v>
      </c>
      <c r="B72" s="11">
        <v>11.53</v>
      </c>
      <c r="C72" s="11">
        <v>40.35</v>
      </c>
      <c r="D72" s="11">
        <v>12.39</v>
      </c>
      <c r="E72" s="12">
        <v>40.65</v>
      </c>
      <c r="F72" s="11">
        <v>13.33</v>
      </c>
      <c r="G72" s="11">
        <v>40.950000000000003</v>
      </c>
      <c r="H72" s="11">
        <v>14.34</v>
      </c>
      <c r="I72" s="11">
        <v>41.25</v>
      </c>
      <c r="J72" s="13">
        <v>15.42</v>
      </c>
      <c r="K72" s="1"/>
      <c r="L72" s="10">
        <v>44.55</v>
      </c>
      <c r="M72" s="11">
        <v>31.78</v>
      </c>
      <c r="N72" s="11">
        <v>44.85</v>
      </c>
      <c r="O72" s="11">
        <v>33.69</v>
      </c>
      <c r="P72" s="12"/>
      <c r="Q72" s="11"/>
      <c r="R72" s="11"/>
      <c r="S72" s="11"/>
      <c r="T72" s="11"/>
      <c r="U72" s="13"/>
      <c r="V72" s="1"/>
      <c r="W72" s="1"/>
      <c r="X72" s="1"/>
      <c r="Y72" s="1"/>
      <c r="Z72" s="1"/>
    </row>
    <row r="73" spans="1:26" ht="15.75" customHeight="1">
      <c r="A73" s="14">
        <v>40.06</v>
      </c>
      <c r="B73" s="11">
        <v>11.55</v>
      </c>
      <c r="C73" s="12">
        <v>40.36</v>
      </c>
      <c r="D73" s="11">
        <v>12.41</v>
      </c>
      <c r="E73" s="12">
        <v>40.659999999999997</v>
      </c>
      <c r="F73" s="11">
        <v>13.36</v>
      </c>
      <c r="G73" s="12">
        <v>40.96</v>
      </c>
      <c r="H73" s="11">
        <v>14.36</v>
      </c>
      <c r="I73" s="12">
        <v>41.26</v>
      </c>
      <c r="J73" s="13">
        <v>15.45</v>
      </c>
      <c r="K73" s="1"/>
      <c r="L73" s="14">
        <v>44.56</v>
      </c>
      <c r="M73" s="11">
        <v>31.84</v>
      </c>
      <c r="N73" s="12">
        <v>44.86</v>
      </c>
      <c r="O73" s="11">
        <v>33.75</v>
      </c>
      <c r="P73" s="12"/>
      <c r="Q73" s="11"/>
      <c r="R73" s="12"/>
      <c r="S73" s="11"/>
      <c r="T73" s="12"/>
      <c r="U73" s="13"/>
      <c r="V73" s="1"/>
      <c r="W73" s="1"/>
      <c r="X73" s="1"/>
      <c r="Y73" s="1"/>
      <c r="Z73" s="1"/>
    </row>
    <row r="74" spans="1:26" ht="15.75" customHeight="1">
      <c r="A74" s="10">
        <v>40.07</v>
      </c>
      <c r="B74" s="11">
        <v>11.58</v>
      </c>
      <c r="C74" s="11">
        <v>40.369999999999997</v>
      </c>
      <c r="D74" s="11">
        <v>12.44</v>
      </c>
      <c r="E74" s="12">
        <v>40.67</v>
      </c>
      <c r="F74" s="11">
        <v>13.39</v>
      </c>
      <c r="G74" s="11">
        <v>40.97</v>
      </c>
      <c r="H74" s="11">
        <v>14.4</v>
      </c>
      <c r="I74" s="11">
        <v>41.27</v>
      </c>
      <c r="J74" s="13">
        <v>15.49</v>
      </c>
      <c r="K74" s="1"/>
      <c r="L74" s="10">
        <v>44.57</v>
      </c>
      <c r="M74" s="11">
        <v>31.9</v>
      </c>
      <c r="N74" s="11">
        <v>44.87</v>
      </c>
      <c r="O74" s="11">
        <v>33.82</v>
      </c>
      <c r="P74" s="12"/>
      <c r="Q74" s="11"/>
      <c r="R74" s="11"/>
      <c r="S74" s="11"/>
      <c r="T74" s="11"/>
      <c r="U74" s="13"/>
      <c r="V74" s="1"/>
      <c r="W74" s="1"/>
      <c r="X74" s="1"/>
      <c r="Y74" s="1"/>
      <c r="Z74" s="1"/>
    </row>
    <row r="75" spans="1:26" ht="15.75" customHeight="1">
      <c r="A75" s="14">
        <v>40.08</v>
      </c>
      <c r="B75" s="11">
        <v>11.61</v>
      </c>
      <c r="C75" s="12">
        <v>40.380000000000003</v>
      </c>
      <c r="D75" s="11">
        <v>12.47</v>
      </c>
      <c r="E75" s="12">
        <v>40.68</v>
      </c>
      <c r="F75" s="11">
        <v>13.43</v>
      </c>
      <c r="G75" s="12">
        <v>40.98</v>
      </c>
      <c r="H75" s="11">
        <v>14.43</v>
      </c>
      <c r="I75" s="12">
        <v>41.28</v>
      </c>
      <c r="J75" s="13">
        <v>15.53</v>
      </c>
      <c r="K75" s="1"/>
      <c r="L75" s="14">
        <v>44.58</v>
      </c>
      <c r="M75" s="11">
        <v>31.97</v>
      </c>
      <c r="N75" s="12">
        <v>44.88</v>
      </c>
      <c r="O75" s="11">
        <v>33.880000000000003</v>
      </c>
      <c r="P75" s="12"/>
      <c r="Q75" s="11"/>
      <c r="R75" s="12"/>
      <c r="S75" s="11"/>
      <c r="T75" s="12"/>
      <c r="U75" s="13"/>
      <c r="V75" s="1"/>
      <c r="W75" s="1"/>
      <c r="X75" s="1"/>
      <c r="Y75" s="1"/>
      <c r="Z75" s="1"/>
    </row>
    <row r="76" spans="1:26" ht="15.75" customHeight="1">
      <c r="A76" s="10">
        <v>40.090000000000003</v>
      </c>
      <c r="B76" s="11">
        <v>11.63</v>
      </c>
      <c r="C76" s="11">
        <v>40.39</v>
      </c>
      <c r="D76" s="11">
        <v>12.5</v>
      </c>
      <c r="E76" s="12">
        <v>40.69</v>
      </c>
      <c r="F76" s="11">
        <v>13.46</v>
      </c>
      <c r="G76" s="11">
        <v>40.99</v>
      </c>
      <c r="H76" s="11">
        <v>14.47</v>
      </c>
      <c r="I76" s="11">
        <v>41.29</v>
      </c>
      <c r="J76" s="13">
        <v>15.56</v>
      </c>
      <c r="K76" s="1"/>
      <c r="L76" s="10">
        <v>44.59</v>
      </c>
      <c r="M76" s="11">
        <v>32.03</v>
      </c>
      <c r="N76" s="11">
        <v>44.89</v>
      </c>
      <c r="O76" s="11">
        <v>33.950000000000003</v>
      </c>
      <c r="P76" s="12"/>
      <c r="Q76" s="11"/>
      <c r="R76" s="11"/>
      <c r="S76" s="11"/>
      <c r="T76" s="11"/>
      <c r="U76" s="13"/>
      <c r="V76" s="1"/>
      <c r="W76" s="1"/>
      <c r="X76" s="1"/>
      <c r="Y76" s="1"/>
      <c r="Z76" s="1"/>
    </row>
    <row r="77" spans="1:26" ht="15.75" customHeight="1">
      <c r="A77" s="15">
        <v>40.1</v>
      </c>
      <c r="B77" s="16">
        <v>11.66</v>
      </c>
      <c r="C77" s="7">
        <v>40.4</v>
      </c>
      <c r="D77" s="16">
        <v>12.54</v>
      </c>
      <c r="E77" s="7">
        <v>40.700000000000003</v>
      </c>
      <c r="F77" s="16">
        <v>13.49</v>
      </c>
      <c r="G77" s="7">
        <v>41</v>
      </c>
      <c r="H77" s="16">
        <v>14.51</v>
      </c>
      <c r="I77" s="7">
        <v>41.3</v>
      </c>
      <c r="J77" s="17">
        <v>15.6</v>
      </c>
      <c r="K77" s="18"/>
      <c r="L77" s="15">
        <v>44.6</v>
      </c>
      <c r="M77" s="16">
        <v>32.090000000000003</v>
      </c>
      <c r="N77" s="7">
        <v>44.9</v>
      </c>
      <c r="O77" s="16">
        <v>34.01</v>
      </c>
      <c r="P77" s="7">
        <v>45.2</v>
      </c>
      <c r="Q77" s="16">
        <v>35.99</v>
      </c>
      <c r="R77" s="7"/>
      <c r="S77" s="16"/>
      <c r="T77" s="7"/>
      <c r="U77" s="17"/>
      <c r="V77" s="18"/>
      <c r="W77" s="18"/>
      <c r="X77" s="18"/>
      <c r="Y77" s="18"/>
      <c r="Z77" s="18"/>
    </row>
    <row r="78" spans="1:26" ht="15.75" customHeight="1">
      <c r="A78" s="10">
        <v>40.11</v>
      </c>
      <c r="B78" s="11">
        <v>11.69</v>
      </c>
      <c r="C78" s="11">
        <v>40.409999999999997</v>
      </c>
      <c r="D78" s="11">
        <v>12.56</v>
      </c>
      <c r="E78" s="12">
        <v>40.71</v>
      </c>
      <c r="F78" s="11">
        <v>13.52</v>
      </c>
      <c r="G78" s="11">
        <v>41.01</v>
      </c>
      <c r="H78" s="11">
        <v>14.55</v>
      </c>
      <c r="I78" s="11">
        <v>41.31</v>
      </c>
      <c r="J78" s="13">
        <v>15.64</v>
      </c>
      <c r="K78" s="1"/>
      <c r="L78" s="10">
        <v>44.61</v>
      </c>
      <c r="M78" s="11">
        <v>32.15</v>
      </c>
      <c r="N78" s="11">
        <v>44.91</v>
      </c>
      <c r="O78" s="23"/>
      <c r="P78" s="12"/>
      <c r="Q78" s="11"/>
      <c r="R78" s="11"/>
      <c r="S78" s="11"/>
      <c r="T78" s="11"/>
      <c r="U78" s="13"/>
      <c r="V78" s="1"/>
      <c r="W78" s="1"/>
      <c r="X78" s="1"/>
      <c r="Y78" s="1"/>
      <c r="Z78" s="1"/>
    </row>
    <row r="79" spans="1:26" ht="15.75" customHeight="1">
      <c r="A79" s="14">
        <v>40.119999999999997</v>
      </c>
      <c r="B79" s="11">
        <v>11.72</v>
      </c>
      <c r="C79" s="12">
        <v>40.42</v>
      </c>
      <c r="D79" s="11">
        <v>12.59</v>
      </c>
      <c r="E79" s="12">
        <v>40.72</v>
      </c>
      <c r="F79" s="11">
        <v>13.56</v>
      </c>
      <c r="G79" s="12">
        <v>41.02</v>
      </c>
      <c r="H79" s="11">
        <v>14.58</v>
      </c>
      <c r="I79" s="12">
        <v>41.32</v>
      </c>
      <c r="J79" s="13">
        <v>15.67</v>
      </c>
      <c r="K79" s="1"/>
      <c r="L79" s="14">
        <v>44.62</v>
      </c>
      <c r="M79" s="11">
        <v>32.22</v>
      </c>
      <c r="N79" s="12">
        <v>44.92</v>
      </c>
      <c r="O79" s="23"/>
      <c r="P79" s="12"/>
      <c r="Q79" s="11"/>
      <c r="R79" s="12"/>
      <c r="S79" s="11"/>
      <c r="T79" s="12"/>
      <c r="U79" s="13"/>
      <c r="V79" s="1"/>
      <c r="W79" s="1"/>
      <c r="X79" s="1"/>
      <c r="Y79" s="1"/>
      <c r="Z79" s="1"/>
    </row>
    <row r="80" spans="1:26" ht="15.75" customHeight="1">
      <c r="A80" s="10">
        <v>40.130000000000003</v>
      </c>
      <c r="B80" s="11">
        <v>11.75</v>
      </c>
      <c r="C80" s="11">
        <v>40.43</v>
      </c>
      <c r="D80" s="11">
        <v>12.62</v>
      </c>
      <c r="E80" s="12">
        <v>40.729999999999997</v>
      </c>
      <c r="F80" s="11">
        <v>13.59</v>
      </c>
      <c r="G80" s="11">
        <v>41.03</v>
      </c>
      <c r="H80" s="11">
        <v>14.62</v>
      </c>
      <c r="I80" s="11">
        <v>41.33</v>
      </c>
      <c r="J80" s="13">
        <v>15.71</v>
      </c>
      <c r="K80" s="1"/>
      <c r="L80" s="10">
        <v>44.63</v>
      </c>
      <c r="M80" s="11">
        <v>32.28</v>
      </c>
      <c r="N80" s="11">
        <v>44.93</v>
      </c>
      <c r="O80" s="23"/>
      <c r="P80" s="12"/>
      <c r="Q80" s="11"/>
      <c r="R80" s="11"/>
      <c r="S80" s="11"/>
      <c r="T80" s="11"/>
      <c r="U80" s="13"/>
      <c r="V80" s="1"/>
      <c r="W80" s="1"/>
      <c r="X80" s="1"/>
      <c r="Y80" s="1"/>
      <c r="Z80" s="1"/>
    </row>
    <row r="81" spans="1:26" ht="15.75" customHeight="1">
      <c r="A81" s="14">
        <v>40.14</v>
      </c>
      <c r="B81" s="11">
        <v>11.78</v>
      </c>
      <c r="C81" s="12">
        <v>40.44</v>
      </c>
      <c r="D81" s="11">
        <v>12.65</v>
      </c>
      <c r="E81" s="12">
        <v>40.74</v>
      </c>
      <c r="F81" s="11">
        <v>13.62</v>
      </c>
      <c r="G81" s="12">
        <v>41.04</v>
      </c>
      <c r="H81" s="11">
        <v>14.65</v>
      </c>
      <c r="I81" s="12">
        <v>41.34</v>
      </c>
      <c r="J81" s="13">
        <v>15.75</v>
      </c>
      <c r="K81" s="1"/>
      <c r="L81" s="14">
        <v>44.64</v>
      </c>
      <c r="M81" s="11">
        <v>32.340000000000003</v>
      </c>
      <c r="N81" s="12">
        <v>44.94</v>
      </c>
      <c r="O81" s="23"/>
      <c r="P81" s="12"/>
      <c r="Q81" s="11"/>
      <c r="R81" s="12"/>
      <c r="S81" s="11"/>
      <c r="T81" s="12"/>
      <c r="U81" s="13"/>
      <c r="V81" s="1"/>
      <c r="W81" s="1"/>
      <c r="X81" s="1"/>
      <c r="Y81" s="1"/>
      <c r="Z81" s="1"/>
    </row>
    <row r="82" spans="1:26" ht="15.75" customHeight="1">
      <c r="A82" s="10">
        <v>40.15</v>
      </c>
      <c r="B82" s="11">
        <v>11.81</v>
      </c>
      <c r="C82" s="11">
        <v>40.450000000000003</v>
      </c>
      <c r="D82" s="11">
        <v>12.7</v>
      </c>
      <c r="E82" s="12">
        <v>40.75</v>
      </c>
      <c r="F82" s="11">
        <v>13.66</v>
      </c>
      <c r="G82" s="11">
        <v>41.05</v>
      </c>
      <c r="H82" s="11">
        <v>14.69</v>
      </c>
      <c r="I82" s="11">
        <v>41.35</v>
      </c>
      <c r="J82" s="13">
        <v>15.79</v>
      </c>
      <c r="K82" s="1"/>
      <c r="L82" s="10">
        <v>44.65</v>
      </c>
      <c r="M82" s="11">
        <v>32.409999999999997</v>
      </c>
      <c r="N82" s="11">
        <v>44.95</v>
      </c>
      <c r="O82" s="23"/>
      <c r="P82" s="12"/>
      <c r="Q82" s="11"/>
      <c r="R82" s="11"/>
      <c r="S82" s="11"/>
      <c r="T82" s="11"/>
      <c r="U82" s="13"/>
      <c r="V82" s="1"/>
      <c r="W82" s="1"/>
      <c r="X82" s="1"/>
      <c r="Y82" s="1"/>
      <c r="Z82" s="1"/>
    </row>
    <row r="83" spans="1:26" ht="15.75" customHeight="1">
      <c r="A83" s="14">
        <v>40.159999999999997</v>
      </c>
      <c r="B83" s="11">
        <v>11.83</v>
      </c>
      <c r="C83" s="12">
        <v>40.46</v>
      </c>
      <c r="D83" s="11">
        <v>12.73</v>
      </c>
      <c r="E83" s="12">
        <v>40.76</v>
      </c>
      <c r="F83" s="11">
        <v>13.69</v>
      </c>
      <c r="G83" s="12">
        <v>41.06</v>
      </c>
      <c r="H83" s="11">
        <v>14.72</v>
      </c>
      <c r="I83" s="12">
        <v>41.36</v>
      </c>
      <c r="J83" s="13">
        <v>15.82</v>
      </c>
      <c r="K83" s="1"/>
      <c r="L83" s="14">
        <v>44.66</v>
      </c>
      <c r="M83" s="11">
        <v>32.47</v>
      </c>
      <c r="N83" s="12">
        <v>44.96</v>
      </c>
      <c r="O83" s="23"/>
      <c r="P83" s="12"/>
      <c r="Q83" s="11"/>
      <c r="R83" s="12"/>
      <c r="S83" s="11"/>
      <c r="T83" s="12"/>
      <c r="U83" s="13"/>
      <c r="V83" s="1"/>
      <c r="W83" s="1"/>
      <c r="X83" s="1"/>
      <c r="Y83" s="1"/>
      <c r="Z83" s="1"/>
    </row>
    <row r="84" spans="1:26" ht="15.75" customHeight="1">
      <c r="A84" s="10">
        <v>40.17</v>
      </c>
      <c r="B84" s="11">
        <v>11.86</v>
      </c>
      <c r="C84" s="11">
        <v>40.47</v>
      </c>
      <c r="D84" s="11">
        <v>12.76</v>
      </c>
      <c r="E84" s="12">
        <v>40.770000000000003</v>
      </c>
      <c r="F84" s="11">
        <v>13.72</v>
      </c>
      <c r="G84" s="11">
        <v>41.07</v>
      </c>
      <c r="H84" s="11">
        <v>14.76</v>
      </c>
      <c r="I84" s="11">
        <v>41.37</v>
      </c>
      <c r="J84" s="13">
        <v>15.86</v>
      </c>
      <c r="K84" s="1"/>
      <c r="L84" s="10">
        <v>44.67</v>
      </c>
      <c r="M84" s="11">
        <v>32.53</v>
      </c>
      <c r="N84" s="11">
        <v>44.97</v>
      </c>
      <c r="O84" s="23"/>
      <c r="P84" s="12"/>
      <c r="Q84" s="11"/>
      <c r="R84" s="11"/>
      <c r="S84" s="11"/>
      <c r="T84" s="11"/>
      <c r="U84" s="13"/>
      <c r="V84" s="1"/>
      <c r="W84" s="1"/>
      <c r="X84" s="1"/>
      <c r="Y84" s="1"/>
      <c r="Z84" s="1"/>
    </row>
    <row r="85" spans="1:26" ht="15.75" customHeight="1">
      <c r="A85" s="14">
        <v>40.18</v>
      </c>
      <c r="B85" s="11">
        <v>11.89</v>
      </c>
      <c r="C85" s="12">
        <v>40.479999999999997</v>
      </c>
      <c r="D85" s="11">
        <v>12.79</v>
      </c>
      <c r="E85" s="12">
        <v>40.78</v>
      </c>
      <c r="F85" s="11">
        <v>13.75</v>
      </c>
      <c r="G85" s="12">
        <v>41.08</v>
      </c>
      <c r="H85" s="11">
        <v>14.79</v>
      </c>
      <c r="I85" s="12">
        <v>41.38</v>
      </c>
      <c r="J85" s="13">
        <v>15.9</v>
      </c>
      <c r="K85" s="1"/>
      <c r="L85" s="14">
        <v>44.68</v>
      </c>
      <c r="M85" s="11">
        <v>32.590000000000003</v>
      </c>
      <c r="N85" s="12">
        <v>44.98</v>
      </c>
      <c r="O85" s="23"/>
      <c r="P85" s="12"/>
      <c r="Q85" s="11"/>
      <c r="R85" s="12"/>
      <c r="S85" s="11"/>
      <c r="T85" s="12"/>
      <c r="U85" s="13"/>
      <c r="V85" s="1"/>
      <c r="W85" s="1"/>
      <c r="X85" s="1"/>
      <c r="Y85" s="1"/>
      <c r="Z85" s="1"/>
    </row>
    <row r="86" spans="1:26" ht="15.75" customHeight="1">
      <c r="A86" s="10">
        <v>40.19</v>
      </c>
      <c r="B86" s="11">
        <v>11.92</v>
      </c>
      <c r="C86" s="11">
        <v>40.49</v>
      </c>
      <c r="D86" s="11">
        <v>12.82</v>
      </c>
      <c r="E86" s="12">
        <v>40.79</v>
      </c>
      <c r="F86" s="11">
        <v>13.79</v>
      </c>
      <c r="G86" s="11">
        <v>41.09</v>
      </c>
      <c r="H86" s="11">
        <v>14.83</v>
      </c>
      <c r="I86" s="11">
        <v>41.39</v>
      </c>
      <c r="J86" s="13">
        <v>15.93</v>
      </c>
      <c r="K86" s="1"/>
      <c r="L86" s="10">
        <v>44.69</v>
      </c>
      <c r="M86" s="11">
        <v>32.659999999999997</v>
      </c>
      <c r="N86" s="11">
        <v>44.99</v>
      </c>
      <c r="O86" s="23"/>
      <c r="P86" s="12"/>
      <c r="Q86" s="11"/>
      <c r="R86" s="11"/>
      <c r="S86" s="11"/>
      <c r="T86" s="11"/>
      <c r="U86" s="13"/>
      <c r="V86" s="1"/>
      <c r="W86" s="1"/>
      <c r="X86" s="1"/>
      <c r="Y86" s="1"/>
      <c r="Z86" s="1"/>
    </row>
    <row r="87" spans="1:26" ht="15.75" customHeight="1">
      <c r="A87" s="15">
        <v>40.200000000000003</v>
      </c>
      <c r="B87" s="16">
        <v>11.95</v>
      </c>
      <c r="C87" s="7">
        <v>40.5</v>
      </c>
      <c r="D87" s="16">
        <v>12.85</v>
      </c>
      <c r="E87" s="7">
        <v>40.799999999999997</v>
      </c>
      <c r="F87" s="16">
        <v>13.82</v>
      </c>
      <c r="G87" s="7">
        <v>41.1</v>
      </c>
      <c r="H87" s="16">
        <v>14.86</v>
      </c>
      <c r="I87" s="7">
        <v>41.4</v>
      </c>
      <c r="J87" s="17">
        <v>15.97</v>
      </c>
      <c r="K87" s="18"/>
      <c r="L87" s="15">
        <v>44.7</v>
      </c>
      <c r="M87" s="16">
        <v>32.72</v>
      </c>
      <c r="N87" s="7">
        <v>45</v>
      </c>
      <c r="O87" s="16">
        <v>34.659999999999997</v>
      </c>
      <c r="P87" s="7">
        <v>45.3</v>
      </c>
      <c r="Q87" s="16">
        <v>36.659999999999997</v>
      </c>
      <c r="R87" s="7"/>
      <c r="S87" s="16"/>
      <c r="T87" s="7"/>
      <c r="U87" s="17"/>
      <c r="V87" s="18"/>
      <c r="W87" s="18"/>
      <c r="X87" s="18"/>
      <c r="Y87" s="18"/>
      <c r="Z87" s="18"/>
    </row>
    <row r="88" spans="1:26" ht="15.75" customHeight="1">
      <c r="A88" s="10">
        <v>40.21</v>
      </c>
      <c r="B88" s="11">
        <v>11.98</v>
      </c>
      <c r="C88" s="11">
        <v>40.51</v>
      </c>
      <c r="D88" s="11">
        <v>12.89</v>
      </c>
      <c r="E88" s="12">
        <v>40.81</v>
      </c>
      <c r="F88" s="11">
        <v>13.85</v>
      </c>
      <c r="G88" s="11">
        <v>41.11</v>
      </c>
      <c r="H88" s="11">
        <v>14.9</v>
      </c>
      <c r="I88" s="11">
        <v>41.41</v>
      </c>
      <c r="J88" s="13">
        <v>16.010000000000002</v>
      </c>
      <c r="K88" s="1"/>
      <c r="L88" s="10">
        <v>44.71</v>
      </c>
      <c r="M88" s="11">
        <v>32.78</v>
      </c>
      <c r="N88" s="11"/>
      <c r="O88" s="11"/>
      <c r="P88" s="12"/>
      <c r="Q88" s="11"/>
      <c r="R88" s="11"/>
      <c r="S88" s="11"/>
      <c r="T88" s="11"/>
      <c r="U88" s="13"/>
      <c r="V88" s="1"/>
      <c r="W88" s="1"/>
      <c r="X88" s="1"/>
      <c r="Y88" s="1"/>
      <c r="Z88" s="1"/>
    </row>
    <row r="89" spans="1:26" ht="15.75" customHeight="1">
      <c r="A89" s="14">
        <v>40.22</v>
      </c>
      <c r="B89" s="11">
        <v>12.01</v>
      </c>
      <c r="C89" s="12">
        <v>40.520000000000003</v>
      </c>
      <c r="D89" s="11">
        <v>12.92</v>
      </c>
      <c r="E89" s="12">
        <v>40.82</v>
      </c>
      <c r="F89" s="11">
        <v>13.89</v>
      </c>
      <c r="G89" s="12">
        <v>41.12</v>
      </c>
      <c r="H89" s="11">
        <v>14.93</v>
      </c>
      <c r="I89" s="12">
        <v>41.42</v>
      </c>
      <c r="J89" s="13">
        <v>16.05</v>
      </c>
      <c r="K89" s="1"/>
      <c r="L89" s="14">
        <v>44.72</v>
      </c>
      <c r="M89" s="11">
        <v>32.85</v>
      </c>
      <c r="N89" s="12"/>
      <c r="O89" s="11"/>
      <c r="P89" s="12"/>
      <c r="Q89" s="11"/>
      <c r="R89" s="12"/>
      <c r="S89" s="11"/>
      <c r="T89" s="12"/>
      <c r="U89" s="13"/>
      <c r="V89" s="1"/>
      <c r="W89" s="1"/>
      <c r="X89" s="1"/>
      <c r="Y89" s="1"/>
      <c r="Z89" s="1"/>
    </row>
    <row r="90" spans="1:26" ht="15.75" customHeight="1">
      <c r="A90" s="10">
        <v>40.229999999999997</v>
      </c>
      <c r="B90" s="11">
        <v>12.04</v>
      </c>
      <c r="C90" s="11">
        <v>40.53</v>
      </c>
      <c r="D90" s="11">
        <v>12.95</v>
      </c>
      <c r="E90" s="12">
        <v>40.83</v>
      </c>
      <c r="F90" s="11">
        <v>13.92</v>
      </c>
      <c r="G90" s="11">
        <v>41.13</v>
      </c>
      <c r="H90" s="11">
        <v>14.97</v>
      </c>
      <c r="I90" s="11">
        <v>41.43</v>
      </c>
      <c r="J90" s="13">
        <v>16.09</v>
      </c>
      <c r="K90" s="1"/>
      <c r="L90" s="10">
        <v>44.73</v>
      </c>
      <c r="M90" s="11">
        <v>32.909999999999997</v>
      </c>
      <c r="N90" s="11"/>
      <c r="O90" s="11"/>
      <c r="P90" s="12"/>
      <c r="Q90" s="11"/>
      <c r="R90" s="11"/>
      <c r="S90" s="11"/>
      <c r="T90" s="11"/>
      <c r="U90" s="13"/>
      <c r="V90" s="1"/>
      <c r="W90" s="1"/>
      <c r="X90" s="1"/>
      <c r="Y90" s="1"/>
      <c r="Z90" s="1"/>
    </row>
    <row r="91" spans="1:26" ht="15.75" customHeight="1">
      <c r="A91" s="14">
        <v>40.24</v>
      </c>
      <c r="B91" s="11">
        <v>12.07</v>
      </c>
      <c r="C91" s="12">
        <v>40.54</v>
      </c>
      <c r="D91" s="11">
        <v>12.98</v>
      </c>
      <c r="E91" s="12">
        <v>40.840000000000003</v>
      </c>
      <c r="F91" s="11">
        <v>13.96</v>
      </c>
      <c r="G91" s="12">
        <v>41.14</v>
      </c>
      <c r="H91" s="11">
        <v>15.01</v>
      </c>
      <c r="I91" s="12">
        <v>41.44</v>
      </c>
      <c r="J91" s="13">
        <v>16.13</v>
      </c>
      <c r="K91" s="1"/>
      <c r="L91" s="14">
        <v>44.74</v>
      </c>
      <c r="M91" s="11">
        <v>32.979999999999997</v>
      </c>
      <c r="N91" s="12"/>
      <c r="O91" s="11"/>
      <c r="P91" s="12"/>
      <c r="Q91" s="11"/>
      <c r="R91" s="12"/>
      <c r="S91" s="11"/>
      <c r="T91" s="12"/>
      <c r="U91" s="13"/>
      <c r="V91" s="1"/>
      <c r="W91" s="1"/>
      <c r="X91" s="1"/>
      <c r="Y91" s="1"/>
      <c r="Z91" s="1"/>
    </row>
    <row r="92" spans="1:26" ht="15.75" customHeight="1">
      <c r="A92" s="10">
        <v>40.25</v>
      </c>
      <c r="B92" s="11">
        <v>12.1</v>
      </c>
      <c r="C92" s="11">
        <v>40.549999999999997</v>
      </c>
      <c r="D92" s="11">
        <v>13.01</v>
      </c>
      <c r="E92" s="12">
        <v>40.85</v>
      </c>
      <c r="F92" s="11">
        <v>13.99</v>
      </c>
      <c r="G92" s="11">
        <v>41.15</v>
      </c>
      <c r="H92" s="11">
        <v>15.05</v>
      </c>
      <c r="I92" s="11">
        <v>41.45</v>
      </c>
      <c r="J92" s="13">
        <v>16.170000000000002</v>
      </c>
      <c r="K92" s="1"/>
      <c r="L92" s="10">
        <v>44.75</v>
      </c>
      <c r="M92" s="11">
        <v>33.04</v>
      </c>
      <c r="N92" s="11"/>
      <c r="O92" s="11"/>
      <c r="P92" s="12"/>
      <c r="Q92" s="11"/>
      <c r="R92" s="11"/>
      <c r="S92" s="11"/>
      <c r="T92" s="11"/>
      <c r="U92" s="13"/>
      <c r="V92" s="1"/>
      <c r="W92" s="1"/>
      <c r="X92" s="1"/>
      <c r="Y92" s="1"/>
      <c r="Z92" s="1"/>
    </row>
    <row r="93" spans="1:26" ht="15.75" customHeight="1">
      <c r="A93" s="14">
        <v>40.26</v>
      </c>
      <c r="B93" s="11">
        <v>12.12</v>
      </c>
      <c r="C93" s="12">
        <v>40.56</v>
      </c>
      <c r="D93" s="11">
        <v>13.04</v>
      </c>
      <c r="E93" s="12">
        <v>40.86</v>
      </c>
      <c r="F93" s="11">
        <v>14.02</v>
      </c>
      <c r="G93" s="12">
        <v>41.16</v>
      </c>
      <c r="H93" s="11">
        <v>15.08</v>
      </c>
      <c r="I93" s="12">
        <v>41.46</v>
      </c>
      <c r="J93" s="13">
        <v>16.2</v>
      </c>
      <c r="K93" s="1"/>
      <c r="L93" s="14">
        <v>44.76</v>
      </c>
      <c r="M93" s="11">
        <v>33.1</v>
      </c>
      <c r="N93" s="12"/>
      <c r="O93" s="11"/>
      <c r="P93" s="12"/>
      <c r="Q93" s="11"/>
      <c r="R93" s="12"/>
      <c r="S93" s="11"/>
      <c r="T93" s="12"/>
      <c r="U93" s="13"/>
      <c r="V93" s="1"/>
      <c r="W93" s="1"/>
      <c r="X93" s="1"/>
      <c r="Y93" s="1"/>
      <c r="Z93" s="1"/>
    </row>
    <row r="94" spans="1:26" ht="15.75" customHeight="1">
      <c r="A94" s="10">
        <v>40.270000000000003</v>
      </c>
      <c r="B94" s="11">
        <v>12.15</v>
      </c>
      <c r="C94" s="11">
        <v>40.57</v>
      </c>
      <c r="D94" s="11">
        <v>13.08</v>
      </c>
      <c r="E94" s="12">
        <v>40.869999999999997</v>
      </c>
      <c r="F94" s="11">
        <v>14.06</v>
      </c>
      <c r="G94" s="11">
        <v>41.17</v>
      </c>
      <c r="H94" s="11">
        <v>15.12</v>
      </c>
      <c r="I94" s="11">
        <v>41.47</v>
      </c>
      <c r="J94" s="13">
        <v>16.239999999999998</v>
      </c>
      <c r="K94" s="1"/>
      <c r="L94" s="10">
        <v>44.77</v>
      </c>
      <c r="M94" s="11">
        <v>33.17</v>
      </c>
      <c r="N94" s="11"/>
      <c r="O94" s="11"/>
      <c r="P94" s="12"/>
      <c r="Q94" s="11"/>
      <c r="R94" s="11"/>
      <c r="S94" s="11"/>
      <c r="T94" s="11"/>
      <c r="U94" s="13"/>
      <c r="V94" s="1"/>
      <c r="W94" s="1"/>
      <c r="X94" s="1"/>
      <c r="Y94" s="1"/>
      <c r="Z94" s="1"/>
    </row>
    <row r="95" spans="1:26" ht="15.75" customHeight="1">
      <c r="A95" s="14">
        <v>40.28</v>
      </c>
      <c r="B95" s="11">
        <v>12.18</v>
      </c>
      <c r="C95" s="12">
        <v>40.58</v>
      </c>
      <c r="D95" s="11">
        <v>13.11</v>
      </c>
      <c r="E95" s="12">
        <v>40.880000000000003</v>
      </c>
      <c r="F95" s="11">
        <v>14.09</v>
      </c>
      <c r="G95" s="12">
        <v>41.18</v>
      </c>
      <c r="H95" s="11">
        <v>15.16</v>
      </c>
      <c r="I95" s="12">
        <v>41.48</v>
      </c>
      <c r="J95" s="13">
        <v>16.28</v>
      </c>
      <c r="K95" s="1"/>
      <c r="L95" s="14">
        <v>44.78</v>
      </c>
      <c r="M95" s="11">
        <v>33.229999999999997</v>
      </c>
      <c r="N95" s="12"/>
      <c r="O95" s="11"/>
      <c r="P95" s="12"/>
      <c r="Q95" s="11"/>
      <c r="R95" s="12"/>
      <c r="S95" s="11"/>
      <c r="T95" s="12"/>
      <c r="U95" s="13"/>
      <c r="V95" s="1"/>
      <c r="W95" s="1"/>
      <c r="X95" s="1"/>
      <c r="Y95" s="1"/>
      <c r="Z95" s="1"/>
    </row>
    <row r="96" spans="1:26" ht="16.5" customHeight="1">
      <c r="A96" s="19">
        <v>40.29</v>
      </c>
      <c r="B96" s="20">
        <v>12.21</v>
      </c>
      <c r="C96" s="20">
        <v>40.590000000000003</v>
      </c>
      <c r="D96" s="20">
        <v>13.14</v>
      </c>
      <c r="E96" s="20">
        <v>40.89</v>
      </c>
      <c r="F96" s="20">
        <v>14.13</v>
      </c>
      <c r="G96" s="20">
        <v>41.19</v>
      </c>
      <c r="H96" s="20">
        <v>15.19</v>
      </c>
      <c r="I96" s="20">
        <v>41.49</v>
      </c>
      <c r="J96" s="21">
        <v>16.32</v>
      </c>
      <c r="K96" s="1"/>
      <c r="L96" s="19">
        <v>44.79</v>
      </c>
      <c r="M96" s="20">
        <v>33.299999999999997</v>
      </c>
      <c r="N96" s="20"/>
      <c r="O96" s="20"/>
      <c r="P96" s="20"/>
      <c r="Q96" s="20"/>
      <c r="R96" s="20"/>
      <c r="S96" s="20"/>
      <c r="T96" s="20"/>
      <c r="U96" s="21"/>
      <c r="V96" s="1"/>
      <c r="W96" s="1"/>
      <c r="X96" s="1"/>
      <c r="Y96" s="1"/>
      <c r="Z96" s="1"/>
    </row>
    <row r="97" spans="1:26" ht="16.5" customHeight="1">
      <c r="A97" s="2"/>
      <c r="B97" s="2"/>
      <c r="C97" s="1"/>
      <c r="D97" s="3"/>
      <c r="E97" s="1"/>
      <c r="F97" s="3"/>
      <c r="G97" s="1"/>
      <c r="H97" s="3"/>
      <c r="I97" s="1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"/>
      <c r="B98" s="2"/>
      <c r="C98" s="1"/>
      <c r="D98" s="3"/>
      <c r="E98" s="1"/>
      <c r="F98" s="3"/>
      <c r="G98" s="1"/>
      <c r="H98" s="3"/>
      <c r="I98" s="1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"/>
      <c r="B99" s="2"/>
      <c r="C99" s="1"/>
      <c r="D99" s="3"/>
      <c r="E99" s="1"/>
      <c r="F99" s="3"/>
      <c r="G99" s="1"/>
      <c r="H99" s="3"/>
      <c r="I99" s="1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2"/>
      <c r="B100" s="2"/>
      <c r="C100" s="1"/>
      <c r="D100" s="3"/>
      <c r="E100" s="1"/>
      <c r="F100" s="3"/>
      <c r="G100" s="1"/>
      <c r="H100" s="3"/>
      <c r="I100" s="1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2"/>
      <c r="B101" s="2"/>
      <c r="C101" s="1"/>
      <c r="D101" s="3"/>
      <c r="E101" s="1"/>
      <c r="F101" s="3"/>
      <c r="G101" s="1"/>
      <c r="H101" s="3"/>
      <c r="I101" s="1"/>
      <c r="J101" s="3"/>
      <c r="K101" s="1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"/>
      <c r="W101" s="1"/>
      <c r="X101" s="1"/>
      <c r="Y101" s="1"/>
      <c r="Z101" s="1"/>
    </row>
    <row r="102" spans="1:26" ht="15.75" customHeight="1">
      <c r="A102" s="2"/>
      <c r="B102" s="2"/>
      <c r="C102" s="1"/>
      <c r="D102" s="3"/>
      <c r="E102" s="1"/>
      <c r="F102" s="3"/>
      <c r="G102" s="1"/>
      <c r="H102" s="3"/>
      <c r="I102" s="1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2"/>
      <c r="B103" s="2"/>
      <c r="C103" s="1"/>
      <c r="D103" s="3"/>
      <c r="E103" s="1"/>
      <c r="F103" s="3"/>
      <c r="G103" s="1"/>
      <c r="H103" s="3"/>
      <c r="I103" s="1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2"/>
      <c r="B104" s="2"/>
      <c r="C104" s="1"/>
      <c r="D104" s="3"/>
      <c r="E104" s="1"/>
      <c r="F104" s="3"/>
      <c r="G104" s="1"/>
      <c r="H104" s="3"/>
      <c r="I104" s="1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8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9"/>
      <c r="W106" s="9"/>
      <c r="X106" s="9"/>
      <c r="Y106" s="9"/>
      <c r="Z106" s="9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8"/>
      <c r="W116" s="18"/>
      <c r="X116" s="18"/>
      <c r="Y116" s="18"/>
      <c r="Z116" s="18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8"/>
      <c r="W126" s="18"/>
      <c r="X126" s="18"/>
      <c r="Y126" s="18"/>
      <c r="Z126" s="18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9"/>
      <c r="W138" s="9"/>
      <c r="X138" s="9"/>
      <c r="Y138" s="9"/>
      <c r="Z138" s="9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8"/>
      <c r="W148" s="18"/>
      <c r="X148" s="18"/>
      <c r="Y148" s="18"/>
      <c r="Z148" s="18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8"/>
      <c r="W158" s="18"/>
      <c r="X158" s="18"/>
      <c r="Y158" s="18"/>
      <c r="Z158" s="18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9"/>
      <c r="W170" s="9"/>
      <c r="X170" s="9"/>
      <c r="Y170" s="9"/>
      <c r="Z170" s="9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8"/>
      <c r="W180" s="18"/>
      <c r="X180" s="18"/>
      <c r="Y180" s="18"/>
      <c r="Z180" s="18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8"/>
      <c r="W190" s="18"/>
      <c r="X190" s="18"/>
      <c r="Y190" s="18"/>
      <c r="Z190" s="18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2"/>
      <c r="B200" s="2"/>
      <c r="C200" s="1"/>
      <c r="D200" s="3"/>
      <c r="E200" s="1"/>
      <c r="F200" s="3"/>
      <c r="G200" s="1"/>
      <c r="H200" s="3"/>
      <c r="I200" s="1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2"/>
      <c r="B201" s="2"/>
      <c r="C201" s="1"/>
      <c r="D201" s="3"/>
      <c r="E201" s="1"/>
      <c r="F201" s="3"/>
      <c r="G201" s="1"/>
      <c r="H201" s="3"/>
      <c r="I201" s="1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2"/>
      <c r="B202" s="2"/>
      <c r="C202" s="1"/>
      <c r="D202" s="3"/>
      <c r="E202" s="1"/>
      <c r="F202" s="3"/>
      <c r="G202" s="1"/>
      <c r="H202" s="3"/>
      <c r="I202" s="1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2"/>
      <c r="B203" s="2"/>
      <c r="C203" s="1"/>
      <c r="D203" s="3"/>
      <c r="E203" s="1"/>
      <c r="F203" s="3"/>
      <c r="G203" s="1"/>
      <c r="H203" s="3"/>
      <c r="I203" s="1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2"/>
      <c r="B204" s="2"/>
      <c r="C204" s="1"/>
      <c r="D204" s="3"/>
      <c r="E204" s="1"/>
      <c r="F204" s="3"/>
      <c r="G204" s="1"/>
      <c r="H204" s="3"/>
      <c r="I204" s="1"/>
      <c r="J204" s="3"/>
      <c r="K204" s="1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"/>
      <c r="W204" s="1"/>
      <c r="X204" s="1"/>
      <c r="Y204" s="1"/>
      <c r="Z204" s="1"/>
    </row>
    <row r="205" spans="1:26" ht="15.75" customHeight="1">
      <c r="A205" s="2"/>
      <c r="B205" s="2"/>
      <c r="C205" s="1"/>
      <c r="D205" s="3"/>
      <c r="E205" s="1"/>
      <c r="F205" s="3"/>
      <c r="G205" s="1"/>
      <c r="H205" s="3"/>
      <c r="I205" s="1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2"/>
      <c r="B206" s="2"/>
      <c r="C206" s="1"/>
      <c r="D206" s="3"/>
      <c r="E206" s="1"/>
      <c r="F206" s="3"/>
      <c r="G206" s="1"/>
      <c r="H206" s="3"/>
      <c r="I206" s="1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2"/>
      <c r="B207" s="2"/>
      <c r="C207" s="1"/>
      <c r="D207" s="3"/>
      <c r="E207" s="1"/>
      <c r="F207" s="3"/>
      <c r="G207" s="1"/>
      <c r="H207" s="3"/>
      <c r="I207" s="1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2"/>
      <c r="B208" s="2"/>
      <c r="C208" s="1"/>
      <c r="D208" s="3"/>
      <c r="E208" s="1"/>
      <c r="F208" s="3"/>
      <c r="G208" s="1"/>
      <c r="H208" s="3"/>
      <c r="I208" s="1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2"/>
      <c r="B209" s="2"/>
      <c r="C209" s="1"/>
      <c r="D209" s="3"/>
      <c r="E209" s="1"/>
      <c r="F209" s="3"/>
      <c r="G209" s="1"/>
      <c r="H209" s="3"/>
      <c r="I209" s="1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2"/>
      <c r="B210" s="2"/>
      <c r="C210" s="1"/>
      <c r="D210" s="3"/>
      <c r="E210" s="1"/>
      <c r="F210" s="3"/>
      <c r="G210" s="1"/>
      <c r="H210" s="3"/>
      <c r="I210" s="1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2"/>
      <c r="B211" s="2"/>
      <c r="C211" s="1"/>
      <c r="D211" s="3"/>
      <c r="E211" s="1"/>
      <c r="F211" s="3"/>
      <c r="G211" s="1"/>
      <c r="H211" s="3"/>
      <c r="I211" s="1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2"/>
      <c r="B212" s="2"/>
      <c r="C212" s="1"/>
      <c r="D212" s="3"/>
      <c r="E212" s="1"/>
      <c r="F212" s="3"/>
      <c r="G212" s="1"/>
      <c r="H212" s="3"/>
      <c r="I212" s="1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2"/>
      <c r="B213" s="2"/>
      <c r="C213" s="1"/>
      <c r="D213" s="3"/>
      <c r="E213" s="1"/>
      <c r="F213" s="3"/>
      <c r="G213" s="1"/>
      <c r="H213" s="3"/>
      <c r="I213" s="1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2"/>
      <c r="B214" s="2"/>
      <c r="C214" s="1"/>
      <c r="D214" s="3"/>
      <c r="E214" s="1"/>
      <c r="F214" s="3"/>
      <c r="G214" s="1"/>
      <c r="H214" s="3"/>
      <c r="I214" s="1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2"/>
      <c r="B215" s="2"/>
      <c r="C215" s="1"/>
      <c r="D215" s="3"/>
      <c r="E215" s="1"/>
      <c r="F215" s="3"/>
      <c r="G215" s="1"/>
      <c r="H215" s="3"/>
      <c r="I215" s="1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2"/>
      <c r="B216" s="2"/>
      <c r="C216" s="1"/>
      <c r="D216" s="3"/>
      <c r="E216" s="1"/>
      <c r="F216" s="3"/>
      <c r="G216" s="1"/>
      <c r="H216" s="3"/>
      <c r="I216" s="1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2"/>
      <c r="B217" s="2"/>
      <c r="C217" s="1"/>
      <c r="D217" s="3"/>
      <c r="E217" s="1"/>
      <c r="F217" s="3"/>
      <c r="G217" s="1"/>
      <c r="H217" s="3"/>
      <c r="I217" s="1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2"/>
      <c r="B218" s="2"/>
      <c r="C218" s="1"/>
      <c r="D218" s="3"/>
      <c r="E218" s="1"/>
      <c r="F218" s="3"/>
      <c r="G218" s="1"/>
      <c r="H218" s="3"/>
      <c r="I218" s="1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2"/>
      <c r="B219" s="2"/>
      <c r="C219" s="1"/>
      <c r="D219" s="3"/>
      <c r="E219" s="1"/>
      <c r="F219" s="3"/>
      <c r="G219" s="1"/>
      <c r="H219" s="3"/>
      <c r="I219" s="1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2"/>
      <c r="B220" s="2"/>
      <c r="C220" s="1"/>
      <c r="D220" s="3"/>
      <c r="E220" s="1"/>
      <c r="F220" s="3"/>
      <c r="G220" s="1"/>
      <c r="H220" s="3"/>
      <c r="I220" s="1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2"/>
      <c r="B221" s="2"/>
      <c r="C221" s="1"/>
      <c r="D221" s="3"/>
      <c r="E221" s="1"/>
      <c r="F221" s="3"/>
      <c r="G221" s="1"/>
      <c r="H221" s="3"/>
      <c r="I221" s="1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2"/>
      <c r="B222" s="2"/>
      <c r="C222" s="1"/>
      <c r="D222" s="3"/>
      <c r="E222" s="1"/>
      <c r="F222" s="3"/>
      <c r="G222" s="1"/>
      <c r="H222" s="3"/>
      <c r="I222" s="1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2"/>
      <c r="B223" s="2"/>
      <c r="C223" s="1"/>
      <c r="D223" s="3"/>
      <c r="E223" s="1"/>
      <c r="F223" s="3"/>
      <c r="G223" s="1"/>
      <c r="H223" s="3"/>
      <c r="I223" s="1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2"/>
      <c r="B224" s="2"/>
      <c r="C224" s="1"/>
      <c r="D224" s="3"/>
      <c r="E224" s="1"/>
      <c r="F224" s="3"/>
      <c r="G224" s="1"/>
      <c r="H224" s="3"/>
      <c r="I224" s="1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2"/>
      <c r="B225" s="2"/>
      <c r="C225" s="1"/>
      <c r="D225" s="3"/>
      <c r="E225" s="1"/>
      <c r="F225" s="3"/>
      <c r="G225" s="1"/>
      <c r="H225" s="3"/>
      <c r="I225" s="1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2"/>
      <c r="B226" s="2"/>
      <c r="C226" s="1"/>
      <c r="D226" s="3"/>
      <c r="E226" s="1"/>
      <c r="F226" s="3"/>
      <c r="G226" s="1"/>
      <c r="H226" s="3"/>
      <c r="I226" s="1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2"/>
      <c r="B227" s="2"/>
      <c r="C227" s="1"/>
      <c r="D227" s="3"/>
      <c r="E227" s="1"/>
      <c r="F227" s="3"/>
      <c r="G227" s="1"/>
      <c r="H227" s="3"/>
      <c r="I227" s="1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2"/>
      <c r="B228" s="2"/>
      <c r="C228" s="1"/>
      <c r="D228" s="3"/>
      <c r="E228" s="1"/>
      <c r="F228" s="3"/>
      <c r="G228" s="1"/>
      <c r="H228" s="3"/>
      <c r="I228" s="1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2"/>
      <c r="B229" s="2"/>
      <c r="C229" s="1"/>
      <c r="D229" s="3"/>
      <c r="E229" s="1"/>
      <c r="F229" s="3"/>
      <c r="G229" s="1"/>
      <c r="H229" s="3"/>
      <c r="I229" s="1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2"/>
      <c r="B230" s="2"/>
      <c r="C230" s="1"/>
      <c r="D230" s="3"/>
      <c r="E230" s="1"/>
      <c r="F230" s="3"/>
      <c r="G230" s="1"/>
      <c r="H230" s="3"/>
      <c r="I230" s="1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2"/>
      <c r="B231" s="2"/>
      <c r="C231" s="1"/>
      <c r="D231" s="3"/>
      <c r="E231" s="1"/>
      <c r="F231" s="3"/>
      <c r="G231" s="1"/>
      <c r="H231" s="3"/>
      <c r="I231" s="1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2"/>
      <c r="B232" s="2"/>
      <c r="C232" s="1"/>
      <c r="D232" s="3"/>
      <c r="E232" s="1"/>
      <c r="F232" s="3"/>
      <c r="G232" s="1"/>
      <c r="H232" s="3"/>
      <c r="I232" s="1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2"/>
      <c r="B233" s="2"/>
      <c r="C233" s="1"/>
      <c r="D233" s="3"/>
      <c r="E233" s="1"/>
      <c r="F233" s="3"/>
      <c r="G233" s="1"/>
      <c r="H233" s="3"/>
      <c r="I233" s="1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2"/>
      <c r="B234" s="2"/>
      <c r="C234" s="1"/>
      <c r="D234" s="3"/>
      <c r="E234" s="1"/>
      <c r="F234" s="3"/>
      <c r="G234" s="1"/>
      <c r="H234" s="3"/>
      <c r="I234" s="1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2"/>
      <c r="B235" s="2"/>
      <c r="C235" s="1"/>
      <c r="D235" s="3"/>
      <c r="E235" s="1"/>
      <c r="F235" s="3"/>
      <c r="G235" s="1"/>
      <c r="H235" s="3"/>
      <c r="I235" s="1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2"/>
      <c r="B236" s="2"/>
      <c r="C236" s="1"/>
      <c r="D236" s="3"/>
      <c r="E236" s="1"/>
      <c r="F236" s="3"/>
      <c r="G236" s="1"/>
      <c r="H236" s="3"/>
      <c r="I236" s="1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2"/>
      <c r="B237" s="2"/>
      <c r="C237" s="1"/>
      <c r="D237" s="3"/>
      <c r="E237" s="1"/>
      <c r="F237" s="3"/>
      <c r="G237" s="1"/>
      <c r="H237" s="3"/>
      <c r="I237" s="1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2"/>
      <c r="B238" s="2"/>
      <c r="C238" s="1"/>
      <c r="D238" s="3"/>
      <c r="E238" s="1"/>
      <c r="F238" s="3"/>
      <c r="G238" s="1"/>
      <c r="H238" s="3"/>
      <c r="I238" s="1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2"/>
      <c r="B239" s="2"/>
      <c r="C239" s="1"/>
      <c r="D239" s="3"/>
      <c r="E239" s="1"/>
      <c r="F239" s="3"/>
      <c r="G239" s="1"/>
      <c r="H239" s="3"/>
      <c r="I239" s="1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2"/>
      <c r="B240" s="2"/>
      <c r="C240" s="1"/>
      <c r="D240" s="3"/>
      <c r="E240" s="1"/>
      <c r="F240" s="3"/>
      <c r="G240" s="1"/>
      <c r="H240" s="3"/>
      <c r="I240" s="1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2"/>
      <c r="B241" s="2"/>
      <c r="C241" s="1"/>
      <c r="D241" s="3"/>
      <c r="E241" s="1"/>
      <c r="F241" s="3"/>
      <c r="G241" s="1"/>
      <c r="H241" s="3"/>
      <c r="I241" s="1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2"/>
      <c r="B242" s="2"/>
      <c r="C242" s="1"/>
      <c r="D242" s="3"/>
      <c r="E242" s="1"/>
      <c r="F242" s="3"/>
      <c r="G242" s="1"/>
      <c r="H242" s="3"/>
      <c r="I242" s="1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2"/>
      <c r="B243" s="2"/>
      <c r="C243" s="1"/>
      <c r="D243" s="3"/>
      <c r="E243" s="1"/>
      <c r="F243" s="3"/>
      <c r="G243" s="1"/>
      <c r="H243" s="3"/>
      <c r="I243" s="1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2"/>
      <c r="B244" s="2"/>
      <c r="C244" s="1"/>
      <c r="D244" s="3"/>
      <c r="E244" s="1"/>
      <c r="F244" s="3"/>
      <c r="G244" s="1"/>
      <c r="H244" s="3"/>
      <c r="I244" s="1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2"/>
      <c r="B245" s="2"/>
      <c r="C245" s="1"/>
      <c r="D245" s="3"/>
      <c r="E245" s="1"/>
      <c r="F245" s="3"/>
      <c r="G245" s="1"/>
      <c r="H245" s="3"/>
      <c r="I245" s="1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2"/>
      <c r="B246" s="2"/>
      <c r="C246" s="1"/>
      <c r="D246" s="3"/>
      <c r="E246" s="1"/>
      <c r="F246" s="3"/>
      <c r="G246" s="1"/>
      <c r="H246" s="3"/>
      <c r="I246" s="1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2"/>
      <c r="B247" s="2"/>
      <c r="C247" s="1"/>
      <c r="D247" s="3"/>
      <c r="E247" s="1"/>
      <c r="F247" s="3"/>
      <c r="G247" s="1"/>
      <c r="H247" s="3"/>
      <c r="I247" s="1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2"/>
      <c r="B248" s="2"/>
      <c r="C248" s="1"/>
      <c r="D248" s="3"/>
      <c r="E248" s="1"/>
      <c r="F248" s="3"/>
      <c r="G248" s="1"/>
      <c r="H248" s="3"/>
      <c r="I248" s="1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2"/>
      <c r="B249" s="2"/>
      <c r="C249" s="1"/>
      <c r="D249" s="3"/>
      <c r="E249" s="1"/>
      <c r="F249" s="3"/>
      <c r="G249" s="1"/>
      <c r="H249" s="3"/>
      <c r="I249" s="1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2"/>
      <c r="B250" s="2"/>
      <c r="C250" s="1"/>
      <c r="D250" s="3"/>
      <c r="E250" s="1"/>
      <c r="F250" s="3"/>
      <c r="G250" s="1"/>
      <c r="H250" s="3"/>
      <c r="I250" s="1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2"/>
      <c r="B251" s="2"/>
      <c r="C251" s="1"/>
      <c r="D251" s="3"/>
      <c r="E251" s="1"/>
      <c r="F251" s="3"/>
      <c r="G251" s="1"/>
      <c r="H251" s="3"/>
      <c r="I251" s="1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2"/>
      <c r="B252" s="2"/>
      <c r="C252" s="1"/>
      <c r="D252" s="3"/>
      <c r="E252" s="1"/>
      <c r="F252" s="3"/>
      <c r="G252" s="1"/>
      <c r="H252" s="3"/>
      <c r="I252" s="1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2"/>
      <c r="B253" s="2"/>
      <c r="C253" s="1"/>
      <c r="D253" s="3"/>
      <c r="E253" s="1"/>
      <c r="F253" s="3"/>
      <c r="G253" s="1"/>
      <c r="H253" s="3"/>
      <c r="I253" s="1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2"/>
      <c r="B254" s="2"/>
      <c r="C254" s="1"/>
      <c r="D254" s="3"/>
      <c r="E254" s="1"/>
      <c r="F254" s="3"/>
      <c r="G254" s="1"/>
      <c r="H254" s="3"/>
      <c r="I254" s="1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2"/>
      <c r="B255" s="2"/>
      <c r="C255" s="1"/>
      <c r="D255" s="3"/>
      <c r="E255" s="1"/>
      <c r="F255" s="3"/>
      <c r="G255" s="1"/>
      <c r="H255" s="3"/>
      <c r="I255" s="1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2"/>
      <c r="B256" s="2"/>
      <c r="C256" s="1"/>
      <c r="D256" s="3"/>
      <c r="E256" s="1"/>
      <c r="F256" s="3"/>
      <c r="G256" s="1"/>
      <c r="H256" s="3"/>
      <c r="I256" s="1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2"/>
      <c r="B257" s="2"/>
      <c r="C257" s="1"/>
      <c r="D257" s="3"/>
      <c r="E257" s="1"/>
      <c r="F257" s="3"/>
      <c r="G257" s="1"/>
      <c r="H257" s="3"/>
      <c r="I257" s="1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2"/>
      <c r="B258" s="2"/>
      <c r="C258" s="1"/>
      <c r="D258" s="3"/>
      <c r="E258" s="1"/>
      <c r="F258" s="3"/>
      <c r="G258" s="1"/>
      <c r="H258" s="3"/>
      <c r="I258" s="1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2"/>
      <c r="B259" s="2"/>
      <c r="C259" s="1"/>
      <c r="D259" s="3"/>
      <c r="E259" s="1"/>
      <c r="F259" s="3"/>
      <c r="G259" s="1"/>
      <c r="H259" s="3"/>
      <c r="I259" s="1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2"/>
      <c r="B260" s="2"/>
      <c r="C260" s="1"/>
      <c r="D260" s="3"/>
      <c r="E260" s="1"/>
      <c r="F260" s="3"/>
      <c r="G260" s="1"/>
      <c r="H260" s="3"/>
      <c r="I260" s="1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2"/>
      <c r="B261" s="2"/>
      <c r="C261" s="1"/>
      <c r="D261" s="3"/>
      <c r="E261" s="1"/>
      <c r="F261" s="3"/>
      <c r="G261" s="1"/>
      <c r="H261" s="3"/>
      <c r="I261" s="1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2"/>
      <c r="B262" s="2"/>
      <c r="C262" s="1"/>
      <c r="D262" s="3"/>
      <c r="E262" s="1"/>
      <c r="F262" s="3"/>
      <c r="G262" s="1"/>
      <c r="H262" s="3"/>
      <c r="I262" s="1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2"/>
      <c r="B263" s="2"/>
      <c r="C263" s="1"/>
      <c r="D263" s="3"/>
      <c r="E263" s="1"/>
      <c r="F263" s="3"/>
      <c r="G263" s="1"/>
      <c r="H263" s="3"/>
      <c r="I263" s="1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2"/>
      <c r="B264" s="2"/>
      <c r="C264" s="1"/>
      <c r="D264" s="3"/>
      <c r="E264" s="1"/>
      <c r="F264" s="3"/>
      <c r="G264" s="1"/>
      <c r="H264" s="3"/>
      <c r="I264" s="1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2"/>
      <c r="B265" s="2"/>
      <c r="C265" s="1"/>
      <c r="D265" s="3"/>
      <c r="E265" s="1"/>
      <c r="F265" s="3"/>
      <c r="G265" s="1"/>
      <c r="H265" s="3"/>
      <c r="I265" s="1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2"/>
      <c r="B266" s="2"/>
      <c r="C266" s="1"/>
      <c r="D266" s="3"/>
      <c r="E266" s="1"/>
      <c r="F266" s="3"/>
      <c r="G266" s="1"/>
      <c r="H266" s="3"/>
      <c r="I266" s="1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2"/>
      <c r="B267" s="2"/>
      <c r="C267" s="1"/>
      <c r="D267" s="3"/>
      <c r="E267" s="1"/>
      <c r="F267" s="3"/>
      <c r="G267" s="1"/>
      <c r="H267" s="3"/>
      <c r="I267" s="1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2"/>
      <c r="B268" s="2"/>
      <c r="C268" s="1"/>
      <c r="D268" s="3"/>
      <c r="E268" s="1"/>
      <c r="F268" s="3"/>
      <c r="G268" s="1"/>
      <c r="H268" s="3"/>
      <c r="I268" s="1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2"/>
      <c r="B269" s="2"/>
      <c r="C269" s="1"/>
      <c r="D269" s="3"/>
      <c r="E269" s="1"/>
      <c r="F269" s="3"/>
      <c r="G269" s="1"/>
      <c r="H269" s="3"/>
      <c r="I269" s="1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2"/>
      <c r="B270" s="2"/>
      <c r="C270" s="1"/>
      <c r="D270" s="3"/>
      <c r="E270" s="1"/>
      <c r="F270" s="3"/>
      <c r="G270" s="1"/>
      <c r="H270" s="3"/>
      <c r="I270" s="1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2"/>
      <c r="B271" s="2"/>
      <c r="C271" s="1"/>
      <c r="D271" s="3"/>
      <c r="E271" s="1"/>
      <c r="F271" s="3"/>
      <c r="G271" s="1"/>
      <c r="H271" s="3"/>
      <c r="I271" s="1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2"/>
      <c r="B272" s="2"/>
      <c r="C272" s="1"/>
      <c r="D272" s="3"/>
      <c r="E272" s="1"/>
      <c r="F272" s="3"/>
      <c r="G272" s="1"/>
      <c r="H272" s="3"/>
      <c r="I272" s="1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2"/>
      <c r="B273" s="2"/>
      <c r="C273" s="1"/>
      <c r="D273" s="3"/>
      <c r="E273" s="1"/>
      <c r="F273" s="3"/>
      <c r="G273" s="1"/>
      <c r="H273" s="3"/>
      <c r="I273" s="1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2"/>
      <c r="B274" s="2"/>
      <c r="C274" s="1"/>
      <c r="D274" s="3"/>
      <c r="E274" s="1"/>
      <c r="F274" s="3"/>
      <c r="G274" s="1"/>
      <c r="H274" s="3"/>
      <c r="I274" s="1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2"/>
      <c r="B275" s="2"/>
      <c r="C275" s="1"/>
      <c r="D275" s="3"/>
      <c r="E275" s="1"/>
      <c r="F275" s="3"/>
      <c r="G275" s="1"/>
      <c r="H275" s="3"/>
      <c r="I275" s="1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2"/>
      <c r="B276" s="2"/>
      <c r="C276" s="1"/>
      <c r="D276" s="3"/>
      <c r="E276" s="1"/>
      <c r="F276" s="3"/>
      <c r="G276" s="1"/>
      <c r="H276" s="3"/>
      <c r="I276" s="1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2"/>
      <c r="B277" s="2"/>
      <c r="C277" s="1"/>
      <c r="D277" s="3"/>
      <c r="E277" s="1"/>
      <c r="F277" s="3"/>
      <c r="G277" s="1"/>
      <c r="H277" s="3"/>
      <c r="I277" s="1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2"/>
      <c r="B278" s="2"/>
      <c r="C278" s="1"/>
      <c r="D278" s="3"/>
      <c r="E278" s="1"/>
      <c r="F278" s="3"/>
      <c r="G278" s="1"/>
      <c r="H278" s="3"/>
      <c r="I278" s="1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2"/>
      <c r="B279" s="2"/>
      <c r="C279" s="1"/>
      <c r="D279" s="3"/>
      <c r="E279" s="1"/>
      <c r="F279" s="3"/>
      <c r="G279" s="1"/>
      <c r="H279" s="3"/>
      <c r="I279" s="1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2"/>
      <c r="B280" s="2"/>
      <c r="C280" s="1"/>
      <c r="D280" s="3"/>
      <c r="E280" s="1"/>
      <c r="F280" s="3"/>
      <c r="G280" s="1"/>
      <c r="H280" s="3"/>
      <c r="I280" s="1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2"/>
      <c r="B281" s="2"/>
      <c r="C281" s="1"/>
      <c r="D281" s="3"/>
      <c r="E281" s="1"/>
      <c r="F281" s="3"/>
      <c r="G281" s="1"/>
      <c r="H281" s="3"/>
      <c r="I281" s="1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2"/>
      <c r="B282" s="2"/>
      <c r="C282" s="1"/>
      <c r="D282" s="3"/>
      <c r="E282" s="1"/>
      <c r="F282" s="3"/>
      <c r="G282" s="1"/>
      <c r="H282" s="3"/>
      <c r="I282" s="1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2"/>
      <c r="B283" s="2"/>
      <c r="C283" s="1"/>
      <c r="D283" s="3"/>
      <c r="E283" s="1"/>
      <c r="F283" s="3"/>
      <c r="G283" s="1"/>
      <c r="H283" s="3"/>
      <c r="I283" s="1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2"/>
      <c r="B284" s="2"/>
      <c r="C284" s="1"/>
      <c r="D284" s="3"/>
      <c r="E284" s="1"/>
      <c r="F284" s="3"/>
      <c r="G284" s="1"/>
      <c r="H284" s="3"/>
      <c r="I284" s="1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2"/>
      <c r="B285" s="2"/>
      <c r="C285" s="1"/>
      <c r="D285" s="3"/>
      <c r="E285" s="1"/>
      <c r="F285" s="3"/>
      <c r="G285" s="1"/>
      <c r="H285" s="3"/>
      <c r="I285" s="1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2"/>
      <c r="B286" s="2"/>
      <c r="C286" s="1"/>
      <c r="D286" s="3"/>
      <c r="E286" s="1"/>
      <c r="F286" s="3"/>
      <c r="G286" s="1"/>
      <c r="H286" s="3"/>
      <c r="I286" s="1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2"/>
      <c r="B287" s="2"/>
      <c r="C287" s="1"/>
      <c r="D287" s="3"/>
      <c r="E287" s="1"/>
      <c r="F287" s="3"/>
      <c r="G287" s="1"/>
      <c r="H287" s="3"/>
      <c r="I287" s="1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2"/>
      <c r="B288" s="2"/>
      <c r="C288" s="1"/>
      <c r="D288" s="3"/>
      <c r="E288" s="1"/>
      <c r="F288" s="3"/>
      <c r="G288" s="1"/>
      <c r="H288" s="3"/>
      <c r="I288" s="1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2"/>
      <c r="B289" s="2"/>
      <c r="C289" s="1"/>
      <c r="D289" s="3"/>
      <c r="E289" s="1"/>
      <c r="F289" s="3"/>
      <c r="G289" s="1"/>
      <c r="H289" s="3"/>
      <c r="I289" s="1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2"/>
      <c r="B290" s="2"/>
      <c r="C290" s="1"/>
      <c r="D290" s="3"/>
      <c r="E290" s="1"/>
      <c r="F290" s="3"/>
      <c r="G290" s="1"/>
      <c r="H290" s="3"/>
      <c r="I290" s="1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2"/>
      <c r="B291" s="2"/>
      <c r="C291" s="1"/>
      <c r="D291" s="3"/>
      <c r="E291" s="1"/>
      <c r="F291" s="3"/>
      <c r="G291" s="1"/>
      <c r="H291" s="3"/>
      <c r="I291" s="1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2"/>
      <c r="B292" s="2"/>
      <c r="C292" s="1"/>
      <c r="D292" s="3"/>
      <c r="E292" s="1"/>
      <c r="F292" s="3"/>
      <c r="G292" s="1"/>
      <c r="H292" s="3"/>
      <c r="I292" s="1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2"/>
      <c r="B293" s="2"/>
      <c r="C293" s="1"/>
      <c r="D293" s="3"/>
      <c r="E293" s="1"/>
      <c r="F293" s="3"/>
      <c r="G293" s="1"/>
      <c r="H293" s="3"/>
      <c r="I293" s="1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2"/>
      <c r="B294" s="2"/>
      <c r="C294" s="1"/>
      <c r="D294" s="3"/>
      <c r="E294" s="1"/>
      <c r="F294" s="3"/>
      <c r="G294" s="1"/>
      <c r="H294" s="3"/>
      <c r="I294" s="1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2"/>
      <c r="B295" s="2"/>
      <c r="C295" s="1"/>
      <c r="D295" s="3"/>
      <c r="E295" s="1"/>
      <c r="F295" s="3"/>
      <c r="G295" s="1"/>
      <c r="H295" s="3"/>
      <c r="I295" s="1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2"/>
      <c r="B296" s="2"/>
      <c r="C296" s="1"/>
      <c r="D296" s="3"/>
      <c r="E296" s="1"/>
      <c r="F296" s="3"/>
      <c r="G296" s="1"/>
      <c r="H296" s="3"/>
      <c r="I296" s="1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A1:J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ĐẶT TÍNH</vt:lpstr>
      <vt:lpstr>W-Z Da Den (2)</vt:lpstr>
      <vt:lpstr>W-Z Da 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TAM CUA HANG VI TINH KIM TAM</dc:creator>
  <cp:lastModifiedBy>Van Thanh Tung</cp:lastModifiedBy>
  <dcterms:created xsi:type="dcterms:W3CDTF">2007-05-23T02:01:03Z</dcterms:created>
  <dcterms:modified xsi:type="dcterms:W3CDTF">2026-06-18T09:02:52Z</dcterms:modified>
</cp:coreProperties>
</file>